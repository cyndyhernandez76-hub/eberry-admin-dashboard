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ayroll finals\PAYROLL\PD 4.24.26\Payroll\"/>
    </mc:Choice>
  </mc:AlternateContent>
  <xr:revisionPtr revIDLastSave="0" documentId="13_ncr:1_{896506A9-E9AA-477F-88BA-B1253EACE226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Payroll Sheet" sheetId="1" r:id="rId1"/>
  </sheets>
  <definedNames>
    <definedName name="BreakHours">'Payroll Sheet'!$T$8</definedName>
    <definedName name="BreakStartTime">'Payroll Sheet'!$S$8</definedName>
    <definedName name="CompanyName">'Payroll Sheet'!$B$2</definedName>
    <definedName name="CrewCode">'Payroll Sheet'!$AD$8</definedName>
    <definedName name="CrewName">'Payroll Sheet'!$B$3</definedName>
    <definedName name="CropVarietyName">'Payroll Sheet'!$V$8</definedName>
    <definedName name="Dates">'Payroll Sheet'!$A$14</definedName>
    <definedName name="Deductions">'Payroll Sheet'!$AE$8</definedName>
    <definedName name="EmployeeName">'Payroll Sheet'!$B$7</definedName>
    <definedName name="EmployeeNumber">'Payroll Sheet'!$A$7</definedName>
    <definedName name="EndDate">'Payroll Sheet'!$Q$2</definedName>
    <definedName name="HourlyMinimumWageRate">'Payroll Sheet'!$Z$8</definedName>
    <definedName name="HourlyPayRate">'Payroll Sheet'!$P$8</definedName>
    <definedName name="Hours">'Payroll Sheet'!$N$8</definedName>
    <definedName name="HoursOffered">'Payroll Sheet'!$Q$8</definedName>
    <definedName name="LocationName">'Payroll Sheet'!$U$8</definedName>
    <definedName name="PayDate">'Payroll Sheet'!$O$3</definedName>
    <definedName name="PayrollDate">'Payroll Sheet'!$O$3</definedName>
    <definedName name="PieceMinimumWageRate">'Payroll Sheet'!$Y$8</definedName>
    <definedName name="PieceRate">'Payroll Sheet'!$B$5</definedName>
    <definedName name="PieceRateEnd">'Payroll Sheet'!$K$5</definedName>
    <definedName name="PieceWork">'Payroll Sheet'!$B$8</definedName>
    <definedName name="PieceWorkHours">'Payroll Sheet'!$M$8</definedName>
    <definedName name="StartDate">'Payroll Sheet'!$O$2</definedName>
    <definedName name="StartTime">'Payroll Sheet'!$R$8</definedName>
    <definedName name="Subtotal">'Payroll Sheet'!$A$15</definedName>
    <definedName name="TotalWages">'Payroll Sheet'!$AC$244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1" l="1"/>
  <c r="L15" i="1" s="1"/>
  <c r="B6" i="1"/>
  <c r="C6" i="1"/>
  <c r="D6" i="1"/>
  <c r="E6" i="1"/>
  <c r="F6" i="1"/>
  <c r="G6" i="1"/>
  <c r="H6" i="1"/>
  <c r="I6" i="1"/>
  <c r="J6" i="1"/>
  <c r="K6" i="1"/>
  <c r="L8" i="1"/>
  <c r="O8" i="1"/>
  <c r="W8" i="1"/>
  <c r="W15" i="1" s="1"/>
  <c r="X8" i="1"/>
  <c r="AA8" i="1"/>
  <c r="AB8" i="1" s="1"/>
  <c r="L9" i="1"/>
  <c r="O9" i="1"/>
  <c r="W9" i="1"/>
  <c r="X9" i="1"/>
  <c r="AA9" i="1"/>
  <c r="AB9" i="1" s="1"/>
  <c r="L10" i="1"/>
  <c r="O10" i="1"/>
  <c r="W10" i="1"/>
  <c r="X10" i="1"/>
  <c r="AA10" i="1"/>
  <c r="O11" i="1"/>
  <c r="W11" i="1"/>
  <c r="X11" i="1"/>
  <c r="AA11" i="1"/>
  <c r="AB11" i="1"/>
  <c r="L12" i="1"/>
  <c r="O12" i="1"/>
  <c r="W12" i="1"/>
  <c r="X12" i="1"/>
  <c r="AA12" i="1"/>
  <c r="L13" i="1"/>
  <c r="O13" i="1"/>
  <c r="W13" i="1"/>
  <c r="X13" i="1"/>
  <c r="AA13" i="1"/>
  <c r="L14" i="1"/>
  <c r="O14" i="1"/>
  <c r="W14" i="1"/>
  <c r="X14" i="1"/>
  <c r="AA14" i="1"/>
  <c r="B15" i="1"/>
  <c r="C15" i="1"/>
  <c r="D15" i="1"/>
  <c r="E15" i="1"/>
  <c r="F15" i="1"/>
  <c r="G15" i="1"/>
  <c r="H15" i="1"/>
  <c r="I15" i="1"/>
  <c r="J15" i="1"/>
  <c r="K15" i="1"/>
  <c r="M15" i="1"/>
  <c r="N15" i="1"/>
  <c r="O15" i="1"/>
  <c r="Q15" i="1"/>
  <c r="AE15" i="1"/>
  <c r="L17" i="1"/>
  <c r="O17" i="1"/>
  <c r="W17" i="1"/>
  <c r="X17" i="1"/>
  <c r="AA17" i="1"/>
  <c r="AB17" i="1"/>
  <c r="L18" i="1"/>
  <c r="O18" i="1"/>
  <c r="W18" i="1"/>
  <c r="X18" i="1"/>
  <c r="AB18" i="1" s="1"/>
  <c r="AC18" i="1" s="1"/>
  <c r="AA18" i="1"/>
  <c r="L19" i="1"/>
  <c r="O19" i="1"/>
  <c r="W19" i="1"/>
  <c r="X19" i="1"/>
  <c r="AA19" i="1"/>
  <c r="L20" i="1"/>
  <c r="O20" i="1"/>
  <c r="W20" i="1"/>
  <c r="X20" i="1"/>
  <c r="AA20" i="1"/>
  <c r="AB20" i="1" s="1"/>
  <c r="L21" i="1"/>
  <c r="O21" i="1"/>
  <c r="W21" i="1"/>
  <c r="X21" i="1"/>
  <c r="AA21" i="1"/>
  <c r="L22" i="1"/>
  <c r="L24" i="1" s="1"/>
  <c r="O22" i="1"/>
  <c r="W22" i="1"/>
  <c r="X22" i="1"/>
  <c r="AA22" i="1"/>
  <c r="AB22" i="1" s="1"/>
  <c r="AC22" i="1" s="1"/>
  <c r="L23" i="1"/>
  <c r="O23" i="1"/>
  <c r="W23" i="1"/>
  <c r="X23" i="1"/>
  <c r="AA23" i="1"/>
  <c r="B24" i="1"/>
  <c r="C24" i="1"/>
  <c r="D24" i="1"/>
  <c r="E24" i="1"/>
  <c r="F24" i="1"/>
  <c r="G24" i="1"/>
  <c r="H24" i="1"/>
  <c r="I24" i="1"/>
  <c r="J24" i="1"/>
  <c r="K24" i="1"/>
  <c r="M24" i="1"/>
  <c r="M244" i="1" s="1"/>
  <c r="N24" i="1"/>
  <c r="Q24" i="1"/>
  <c r="AE24" i="1"/>
  <c r="L26" i="1"/>
  <c r="O26" i="1"/>
  <c r="W26" i="1"/>
  <c r="X26" i="1"/>
  <c r="AB26" i="1" s="1"/>
  <c r="AA26" i="1"/>
  <c r="L27" i="1"/>
  <c r="O27" i="1"/>
  <c r="W27" i="1"/>
  <c r="AB27" i="1" s="1"/>
  <c r="X27" i="1"/>
  <c r="AA27" i="1"/>
  <c r="L28" i="1"/>
  <c r="O28" i="1"/>
  <c r="W28" i="1"/>
  <c r="X28" i="1"/>
  <c r="AA28" i="1"/>
  <c r="AB28" i="1"/>
  <c r="L29" i="1"/>
  <c r="O29" i="1"/>
  <c r="W29" i="1"/>
  <c r="AB29" i="1" s="1"/>
  <c r="AC29" i="1" s="1"/>
  <c r="X29" i="1"/>
  <c r="AA29" i="1"/>
  <c r="L30" i="1"/>
  <c r="O30" i="1"/>
  <c r="W30" i="1"/>
  <c r="X30" i="1"/>
  <c r="AA30" i="1"/>
  <c r="AB30" i="1"/>
  <c r="L31" i="1"/>
  <c r="O31" i="1"/>
  <c r="W31" i="1"/>
  <c r="X31" i="1"/>
  <c r="AA31" i="1"/>
  <c r="L32" i="1"/>
  <c r="O32" i="1"/>
  <c r="W32" i="1"/>
  <c r="X32" i="1"/>
  <c r="AA32" i="1"/>
  <c r="B33" i="1"/>
  <c r="C33" i="1"/>
  <c r="C244" i="1" s="1"/>
  <c r="D33" i="1"/>
  <c r="E33" i="1"/>
  <c r="F33" i="1"/>
  <c r="G33" i="1"/>
  <c r="H33" i="1"/>
  <c r="I33" i="1"/>
  <c r="J33" i="1"/>
  <c r="K33" i="1"/>
  <c r="M33" i="1"/>
  <c r="N33" i="1"/>
  <c r="O33" i="1"/>
  <c r="Q33" i="1"/>
  <c r="AE33" i="1"/>
  <c r="L35" i="1"/>
  <c r="O35" i="1"/>
  <c r="W35" i="1"/>
  <c r="X35" i="1"/>
  <c r="X42" i="1" s="1"/>
  <c r="AA35" i="1"/>
  <c r="L36" i="1"/>
  <c r="O36" i="1"/>
  <c r="W36" i="1"/>
  <c r="X36" i="1"/>
  <c r="AA36" i="1"/>
  <c r="AB36" i="1" s="1"/>
  <c r="L37" i="1"/>
  <c r="O37" i="1"/>
  <c r="O42" i="1" s="1"/>
  <c r="W37" i="1"/>
  <c r="X37" i="1"/>
  <c r="AB37" i="1" s="1"/>
  <c r="AA37" i="1"/>
  <c r="L38" i="1"/>
  <c r="L42" i="1" s="1"/>
  <c r="O38" i="1"/>
  <c r="W38" i="1"/>
  <c r="AB38" i="1" s="1"/>
  <c r="X38" i="1"/>
  <c r="AA38" i="1"/>
  <c r="AC38" i="1"/>
  <c r="L39" i="1"/>
  <c r="O39" i="1"/>
  <c r="W39" i="1"/>
  <c r="AB39" i="1" s="1"/>
  <c r="X39" i="1"/>
  <c r="AA39" i="1"/>
  <c r="L40" i="1"/>
  <c r="O40" i="1"/>
  <c r="W40" i="1"/>
  <c r="X40" i="1"/>
  <c r="AA40" i="1"/>
  <c r="AB40" i="1"/>
  <c r="AC40" i="1" s="1"/>
  <c r="L41" i="1"/>
  <c r="O41" i="1"/>
  <c r="W41" i="1"/>
  <c r="AB41" i="1" s="1"/>
  <c r="X41" i="1"/>
  <c r="AA41" i="1"/>
  <c r="B42" i="1"/>
  <c r="C42" i="1"/>
  <c r="D42" i="1"/>
  <c r="E42" i="1"/>
  <c r="F42" i="1"/>
  <c r="G42" i="1"/>
  <c r="H42" i="1"/>
  <c r="I42" i="1"/>
  <c r="J42" i="1"/>
  <c r="K42" i="1"/>
  <c r="M42" i="1"/>
  <c r="N42" i="1"/>
  <c r="Q42" i="1"/>
  <c r="AE42" i="1"/>
  <c r="L44" i="1"/>
  <c r="O44" i="1"/>
  <c r="W44" i="1"/>
  <c r="X44" i="1"/>
  <c r="AA44" i="1"/>
  <c r="AB44" i="1"/>
  <c r="AC44" i="1"/>
  <c r="L45" i="1"/>
  <c r="O45" i="1"/>
  <c r="W45" i="1"/>
  <c r="X45" i="1"/>
  <c r="AA45" i="1"/>
  <c r="L46" i="1"/>
  <c r="O46" i="1"/>
  <c r="W46" i="1"/>
  <c r="X46" i="1"/>
  <c r="AA46" i="1"/>
  <c r="AB46" i="1"/>
  <c r="L47" i="1"/>
  <c r="O47" i="1"/>
  <c r="W47" i="1"/>
  <c r="X47" i="1"/>
  <c r="AA47" i="1"/>
  <c r="L48" i="1"/>
  <c r="O48" i="1"/>
  <c r="W48" i="1"/>
  <c r="X48" i="1"/>
  <c r="AA48" i="1"/>
  <c r="L49" i="1"/>
  <c r="L51" i="1" s="1"/>
  <c r="O49" i="1"/>
  <c r="W49" i="1"/>
  <c r="X49" i="1"/>
  <c r="X51" i="1" s="1"/>
  <c r="AA49" i="1"/>
  <c r="AA51" i="1" s="1"/>
  <c r="L50" i="1"/>
  <c r="O50" i="1"/>
  <c r="W50" i="1"/>
  <c r="X50" i="1"/>
  <c r="AA50" i="1"/>
  <c r="AB50" i="1" s="1"/>
  <c r="B51" i="1"/>
  <c r="C51" i="1"/>
  <c r="D51" i="1"/>
  <c r="E51" i="1"/>
  <c r="F51" i="1"/>
  <c r="G51" i="1"/>
  <c r="H51" i="1"/>
  <c r="I51" i="1"/>
  <c r="J51" i="1"/>
  <c r="K51" i="1"/>
  <c r="M51" i="1"/>
  <c r="N51" i="1"/>
  <c r="Q51" i="1"/>
  <c r="AE51" i="1"/>
  <c r="L53" i="1"/>
  <c r="O53" i="1"/>
  <c r="W53" i="1"/>
  <c r="X53" i="1"/>
  <c r="AA53" i="1"/>
  <c r="L54" i="1"/>
  <c r="O54" i="1"/>
  <c r="W54" i="1"/>
  <c r="X54" i="1"/>
  <c r="AA54" i="1"/>
  <c r="AB54" i="1" s="1"/>
  <c r="L55" i="1"/>
  <c r="O55" i="1"/>
  <c r="W55" i="1"/>
  <c r="X55" i="1"/>
  <c r="AA55" i="1"/>
  <c r="AB55" i="1"/>
  <c r="AC55" i="1"/>
  <c r="L56" i="1"/>
  <c r="O56" i="1"/>
  <c r="W56" i="1"/>
  <c r="X56" i="1"/>
  <c r="AA56" i="1"/>
  <c r="L57" i="1"/>
  <c r="O57" i="1"/>
  <c r="W57" i="1"/>
  <c r="X57" i="1"/>
  <c r="AA57" i="1"/>
  <c r="AB57" i="1"/>
  <c r="L58" i="1"/>
  <c r="O58" i="1"/>
  <c r="W58" i="1"/>
  <c r="X58" i="1"/>
  <c r="AA58" i="1"/>
  <c r="L59" i="1"/>
  <c r="O59" i="1"/>
  <c r="W59" i="1"/>
  <c r="X59" i="1"/>
  <c r="AA59" i="1"/>
  <c r="B60" i="1"/>
  <c r="C60" i="1"/>
  <c r="D60" i="1"/>
  <c r="D244" i="1" s="1"/>
  <c r="E60" i="1"/>
  <c r="F60" i="1"/>
  <c r="G60" i="1"/>
  <c r="H60" i="1"/>
  <c r="I60" i="1"/>
  <c r="J60" i="1"/>
  <c r="K60" i="1"/>
  <c r="M60" i="1"/>
  <c r="N60" i="1"/>
  <c r="Q60" i="1"/>
  <c r="AE60" i="1"/>
  <c r="L62" i="1"/>
  <c r="O62" i="1"/>
  <c r="W62" i="1"/>
  <c r="X62" i="1"/>
  <c r="AA62" i="1"/>
  <c r="AB62" i="1"/>
  <c r="L63" i="1"/>
  <c r="O63" i="1"/>
  <c r="W63" i="1"/>
  <c r="X63" i="1"/>
  <c r="AA63" i="1"/>
  <c r="L64" i="1"/>
  <c r="O64" i="1"/>
  <c r="W64" i="1"/>
  <c r="X64" i="1"/>
  <c r="AA64" i="1"/>
  <c r="L65" i="1"/>
  <c r="L69" i="1" s="1"/>
  <c r="O65" i="1"/>
  <c r="W65" i="1"/>
  <c r="X65" i="1"/>
  <c r="AA65" i="1"/>
  <c r="AB65" i="1" s="1"/>
  <c r="AC65" i="1"/>
  <c r="L66" i="1"/>
  <c r="O66" i="1"/>
  <c r="W66" i="1"/>
  <c r="X66" i="1"/>
  <c r="AA66" i="1"/>
  <c r="L67" i="1"/>
  <c r="O67" i="1"/>
  <c r="W67" i="1"/>
  <c r="X67" i="1"/>
  <c r="AA67" i="1"/>
  <c r="L68" i="1"/>
  <c r="O68" i="1"/>
  <c r="W68" i="1"/>
  <c r="X68" i="1"/>
  <c r="AA68" i="1"/>
  <c r="B69" i="1"/>
  <c r="C69" i="1"/>
  <c r="D69" i="1"/>
  <c r="E69" i="1"/>
  <c r="F69" i="1"/>
  <c r="G69" i="1"/>
  <c r="H69" i="1"/>
  <c r="I69" i="1"/>
  <c r="J69" i="1"/>
  <c r="K69" i="1"/>
  <c r="M69" i="1"/>
  <c r="N69" i="1"/>
  <c r="Q69" i="1"/>
  <c r="AE69" i="1"/>
  <c r="L71" i="1"/>
  <c r="O71" i="1"/>
  <c r="W71" i="1"/>
  <c r="X71" i="1"/>
  <c r="AA71" i="1"/>
  <c r="L72" i="1"/>
  <c r="O72" i="1"/>
  <c r="W72" i="1"/>
  <c r="X72" i="1"/>
  <c r="AA72" i="1"/>
  <c r="L73" i="1"/>
  <c r="O73" i="1"/>
  <c r="W73" i="1"/>
  <c r="X73" i="1"/>
  <c r="AA73" i="1"/>
  <c r="L74" i="1"/>
  <c r="O74" i="1"/>
  <c r="W74" i="1"/>
  <c r="X74" i="1"/>
  <c r="AA74" i="1"/>
  <c r="L75" i="1"/>
  <c r="O75" i="1"/>
  <c r="W75" i="1"/>
  <c r="X75" i="1"/>
  <c r="AA75" i="1"/>
  <c r="L76" i="1"/>
  <c r="O76" i="1"/>
  <c r="W76" i="1"/>
  <c r="X76" i="1"/>
  <c r="AA76" i="1"/>
  <c r="AB76" i="1" s="1"/>
  <c r="L77" i="1"/>
  <c r="O77" i="1"/>
  <c r="W77" i="1"/>
  <c r="X77" i="1"/>
  <c r="AA77" i="1"/>
  <c r="AB77" i="1"/>
  <c r="AC77" i="1" s="1"/>
  <c r="B78" i="1"/>
  <c r="C78" i="1"/>
  <c r="D78" i="1"/>
  <c r="E78" i="1"/>
  <c r="F78" i="1"/>
  <c r="G78" i="1"/>
  <c r="H78" i="1"/>
  <c r="I78" i="1"/>
  <c r="J78" i="1"/>
  <c r="K78" i="1"/>
  <c r="M78" i="1"/>
  <c r="N78" i="1"/>
  <c r="Q78" i="1"/>
  <c r="AE78" i="1"/>
  <c r="L80" i="1"/>
  <c r="O80" i="1"/>
  <c r="W80" i="1"/>
  <c r="X80" i="1"/>
  <c r="AA80" i="1"/>
  <c r="L81" i="1"/>
  <c r="O81" i="1"/>
  <c r="W81" i="1"/>
  <c r="X81" i="1"/>
  <c r="AA81" i="1"/>
  <c r="L82" i="1"/>
  <c r="O82" i="1"/>
  <c r="W82" i="1"/>
  <c r="AB82" i="1" s="1"/>
  <c r="X82" i="1"/>
  <c r="AA82" i="1"/>
  <c r="L83" i="1"/>
  <c r="O83" i="1"/>
  <c r="W83" i="1"/>
  <c r="X83" i="1"/>
  <c r="AA83" i="1"/>
  <c r="AB83" i="1"/>
  <c r="AC83" i="1"/>
  <c r="L84" i="1"/>
  <c r="O84" i="1"/>
  <c r="W84" i="1"/>
  <c r="X84" i="1"/>
  <c r="AA84" i="1"/>
  <c r="L85" i="1"/>
  <c r="O85" i="1"/>
  <c r="W85" i="1"/>
  <c r="X85" i="1"/>
  <c r="AA85" i="1"/>
  <c r="AB85" i="1" s="1"/>
  <c r="L86" i="1"/>
  <c r="O86" i="1"/>
  <c r="W86" i="1"/>
  <c r="X86" i="1"/>
  <c r="AA86" i="1"/>
  <c r="B87" i="1"/>
  <c r="C87" i="1"/>
  <c r="D87" i="1"/>
  <c r="E87" i="1"/>
  <c r="F87" i="1"/>
  <c r="G87" i="1"/>
  <c r="H87" i="1"/>
  <c r="I87" i="1"/>
  <c r="J87" i="1"/>
  <c r="K87" i="1"/>
  <c r="M87" i="1"/>
  <c r="N87" i="1"/>
  <c r="Q87" i="1"/>
  <c r="AE87" i="1"/>
  <c r="L89" i="1"/>
  <c r="O89" i="1"/>
  <c r="W89" i="1"/>
  <c r="X89" i="1"/>
  <c r="AA89" i="1"/>
  <c r="AB89" i="1"/>
  <c r="L90" i="1"/>
  <c r="O90" i="1"/>
  <c r="W90" i="1"/>
  <c r="X90" i="1"/>
  <c r="X96" i="1" s="1"/>
  <c r="AA90" i="1"/>
  <c r="L91" i="1"/>
  <c r="O91" i="1"/>
  <c r="W91" i="1"/>
  <c r="X91" i="1"/>
  <c r="AA91" i="1"/>
  <c r="L92" i="1"/>
  <c r="L96" i="1" s="1"/>
  <c r="O92" i="1"/>
  <c r="W92" i="1"/>
  <c r="X92" i="1"/>
  <c r="AA92" i="1"/>
  <c r="L93" i="1"/>
  <c r="O93" i="1"/>
  <c r="W93" i="1"/>
  <c r="X93" i="1"/>
  <c r="AA93" i="1"/>
  <c r="AB93" i="1"/>
  <c r="L94" i="1"/>
  <c r="O94" i="1"/>
  <c r="W94" i="1"/>
  <c r="X94" i="1"/>
  <c r="AA94" i="1"/>
  <c r="L95" i="1"/>
  <c r="O95" i="1"/>
  <c r="W95" i="1"/>
  <c r="X95" i="1"/>
  <c r="AB95" i="1" s="1"/>
  <c r="AA95" i="1"/>
  <c r="B96" i="1"/>
  <c r="C96" i="1"/>
  <c r="D96" i="1"/>
  <c r="E96" i="1"/>
  <c r="E244" i="1" s="1"/>
  <c r="F96" i="1"/>
  <c r="G96" i="1"/>
  <c r="H96" i="1"/>
  <c r="I96" i="1"/>
  <c r="J96" i="1"/>
  <c r="K96" i="1"/>
  <c r="M96" i="1"/>
  <c r="N96" i="1"/>
  <c r="Q96" i="1"/>
  <c r="AE96" i="1"/>
  <c r="L98" i="1"/>
  <c r="O98" i="1"/>
  <c r="W98" i="1"/>
  <c r="X98" i="1"/>
  <c r="AA98" i="1"/>
  <c r="AB98" i="1"/>
  <c r="AC98" i="1"/>
  <c r="L99" i="1"/>
  <c r="L105" i="1" s="1"/>
  <c r="O99" i="1"/>
  <c r="W99" i="1"/>
  <c r="X99" i="1"/>
  <c r="AA99" i="1"/>
  <c r="AB99" i="1" s="1"/>
  <c r="AC99" i="1" s="1"/>
  <c r="L100" i="1"/>
  <c r="O100" i="1"/>
  <c r="W100" i="1"/>
  <c r="X100" i="1"/>
  <c r="AA100" i="1"/>
  <c r="AB100" i="1"/>
  <c r="L101" i="1"/>
  <c r="O101" i="1"/>
  <c r="W101" i="1"/>
  <c r="X101" i="1"/>
  <c r="AA101" i="1"/>
  <c r="L102" i="1"/>
  <c r="O102" i="1"/>
  <c r="W102" i="1"/>
  <c r="X102" i="1"/>
  <c r="AA102" i="1"/>
  <c r="L103" i="1"/>
  <c r="O103" i="1"/>
  <c r="W103" i="1"/>
  <c r="AB103" i="1" s="1"/>
  <c r="AC103" i="1" s="1"/>
  <c r="X103" i="1"/>
  <c r="AA103" i="1"/>
  <c r="L104" i="1"/>
  <c r="O104" i="1"/>
  <c r="W104" i="1"/>
  <c r="X104" i="1"/>
  <c r="AA104" i="1"/>
  <c r="AB104" i="1"/>
  <c r="B105" i="1"/>
  <c r="C105" i="1"/>
  <c r="D105" i="1"/>
  <c r="E105" i="1"/>
  <c r="F105" i="1"/>
  <c r="G105" i="1"/>
  <c r="H105" i="1"/>
  <c r="I105" i="1"/>
  <c r="J105" i="1"/>
  <c r="K105" i="1"/>
  <c r="M105" i="1"/>
  <c r="N105" i="1"/>
  <c r="Q105" i="1"/>
  <c r="X105" i="1"/>
  <c r="AE105" i="1"/>
  <c r="L107" i="1"/>
  <c r="O107" i="1"/>
  <c r="W107" i="1"/>
  <c r="X107" i="1"/>
  <c r="AA107" i="1"/>
  <c r="L108" i="1"/>
  <c r="O108" i="1"/>
  <c r="W108" i="1"/>
  <c r="X108" i="1"/>
  <c r="AA108" i="1"/>
  <c r="AB108" i="1" s="1"/>
  <c r="AC108" i="1" s="1"/>
  <c r="L109" i="1"/>
  <c r="O109" i="1"/>
  <c r="W109" i="1"/>
  <c r="X109" i="1"/>
  <c r="AA109" i="1"/>
  <c r="L110" i="1"/>
  <c r="O110" i="1"/>
  <c r="W110" i="1"/>
  <c r="X110" i="1"/>
  <c r="AA110" i="1"/>
  <c r="L111" i="1"/>
  <c r="O111" i="1"/>
  <c r="W111" i="1"/>
  <c r="X111" i="1"/>
  <c r="AA111" i="1"/>
  <c r="L112" i="1"/>
  <c r="O112" i="1"/>
  <c r="W112" i="1"/>
  <c r="X112" i="1"/>
  <c r="AA112" i="1"/>
  <c r="AB112" i="1" s="1"/>
  <c r="L113" i="1"/>
  <c r="O113" i="1"/>
  <c r="W113" i="1"/>
  <c r="X113" i="1"/>
  <c r="AA113" i="1"/>
  <c r="B114" i="1"/>
  <c r="C114" i="1"/>
  <c r="D114" i="1"/>
  <c r="E114" i="1"/>
  <c r="F114" i="1"/>
  <c r="G114" i="1"/>
  <c r="H114" i="1"/>
  <c r="I114" i="1"/>
  <c r="I244" i="1" s="1"/>
  <c r="J114" i="1"/>
  <c r="K114" i="1"/>
  <c r="M114" i="1"/>
  <c r="N114" i="1"/>
  <c r="Q114" i="1"/>
  <c r="AE114" i="1"/>
  <c r="L116" i="1"/>
  <c r="O116" i="1"/>
  <c r="O123" i="1" s="1"/>
  <c r="W116" i="1"/>
  <c r="X116" i="1"/>
  <c r="AB116" i="1" s="1"/>
  <c r="AA116" i="1"/>
  <c r="L117" i="1"/>
  <c r="O117" i="1"/>
  <c r="W117" i="1"/>
  <c r="X117" i="1"/>
  <c r="AA117" i="1"/>
  <c r="L118" i="1"/>
  <c r="O118" i="1"/>
  <c r="W118" i="1"/>
  <c r="X118" i="1"/>
  <c r="AA118" i="1"/>
  <c r="L119" i="1"/>
  <c r="L123" i="1" s="1"/>
  <c r="O119" i="1"/>
  <c r="W119" i="1"/>
  <c r="X119" i="1"/>
  <c r="AA119" i="1"/>
  <c r="AB119" i="1" s="1"/>
  <c r="AC119" i="1"/>
  <c r="L120" i="1"/>
  <c r="O120" i="1"/>
  <c r="W120" i="1"/>
  <c r="AB120" i="1" s="1"/>
  <c r="X120" i="1"/>
  <c r="AA120" i="1"/>
  <c r="L121" i="1"/>
  <c r="O121" i="1"/>
  <c r="W121" i="1"/>
  <c r="X121" i="1"/>
  <c r="AA121" i="1"/>
  <c r="AB121" i="1" s="1"/>
  <c r="AC121" i="1"/>
  <c r="L122" i="1"/>
  <c r="O122" i="1"/>
  <c r="W122" i="1"/>
  <c r="X122" i="1"/>
  <c r="AA122" i="1"/>
  <c r="AB122" i="1"/>
  <c r="B123" i="1"/>
  <c r="C123" i="1"/>
  <c r="D123" i="1"/>
  <c r="E123" i="1"/>
  <c r="F123" i="1"/>
  <c r="G123" i="1"/>
  <c r="H123" i="1"/>
  <c r="I123" i="1"/>
  <c r="J123" i="1"/>
  <c r="K123" i="1"/>
  <c r="K244" i="1" s="1"/>
  <c r="M123" i="1"/>
  <c r="N123" i="1"/>
  <c r="Q123" i="1"/>
  <c r="AE123" i="1"/>
  <c r="L125" i="1"/>
  <c r="O125" i="1"/>
  <c r="W125" i="1"/>
  <c r="X125" i="1"/>
  <c r="AA125" i="1"/>
  <c r="AB125" i="1"/>
  <c r="L126" i="1"/>
  <c r="L132" i="1" s="1"/>
  <c r="O126" i="1"/>
  <c r="W126" i="1"/>
  <c r="X126" i="1"/>
  <c r="AA126" i="1"/>
  <c r="AB126" i="1"/>
  <c r="AC126" i="1"/>
  <c r="L127" i="1"/>
  <c r="O127" i="1"/>
  <c r="W127" i="1"/>
  <c r="X127" i="1"/>
  <c r="AA127" i="1"/>
  <c r="L128" i="1"/>
  <c r="O128" i="1"/>
  <c r="W128" i="1"/>
  <c r="X128" i="1"/>
  <c r="AA128" i="1"/>
  <c r="L129" i="1"/>
  <c r="O129" i="1"/>
  <c r="W129" i="1"/>
  <c r="X129" i="1"/>
  <c r="AA129" i="1"/>
  <c r="L130" i="1"/>
  <c r="O130" i="1"/>
  <c r="W130" i="1"/>
  <c r="X130" i="1"/>
  <c r="AA130" i="1"/>
  <c r="L131" i="1"/>
  <c r="O131" i="1"/>
  <c r="W131" i="1"/>
  <c r="X131" i="1"/>
  <c r="AA131" i="1"/>
  <c r="AB131" i="1"/>
  <c r="AC131" i="1"/>
  <c r="B132" i="1"/>
  <c r="C132" i="1"/>
  <c r="D132" i="1"/>
  <c r="E132" i="1"/>
  <c r="F132" i="1"/>
  <c r="G132" i="1"/>
  <c r="H132" i="1"/>
  <c r="I132" i="1"/>
  <c r="J132" i="1"/>
  <c r="K132" i="1"/>
  <c r="M132" i="1"/>
  <c r="N132" i="1"/>
  <c r="Q132" i="1"/>
  <c r="AE132" i="1"/>
  <c r="L134" i="1"/>
  <c r="O134" i="1"/>
  <c r="W134" i="1"/>
  <c r="X134" i="1"/>
  <c r="AA134" i="1"/>
  <c r="L135" i="1"/>
  <c r="O135" i="1"/>
  <c r="W135" i="1"/>
  <c r="X135" i="1"/>
  <c r="AA135" i="1"/>
  <c r="L136" i="1"/>
  <c r="O136" i="1"/>
  <c r="W136" i="1"/>
  <c r="X136" i="1"/>
  <c r="AA136" i="1"/>
  <c r="AB136" i="1" s="1"/>
  <c r="L137" i="1"/>
  <c r="O137" i="1"/>
  <c r="W137" i="1"/>
  <c r="X137" i="1"/>
  <c r="AA137" i="1"/>
  <c r="AB137" i="1" s="1"/>
  <c r="AC137" i="1" s="1"/>
  <c r="L138" i="1"/>
  <c r="O138" i="1"/>
  <c r="W138" i="1"/>
  <c r="X138" i="1"/>
  <c r="AA138" i="1"/>
  <c r="AB138" i="1"/>
  <c r="L139" i="1"/>
  <c r="O139" i="1"/>
  <c r="W139" i="1"/>
  <c r="X139" i="1"/>
  <c r="AA139" i="1"/>
  <c r="L140" i="1"/>
  <c r="O140" i="1"/>
  <c r="W140" i="1"/>
  <c r="X140" i="1"/>
  <c r="AA140" i="1"/>
  <c r="B141" i="1"/>
  <c r="C141" i="1"/>
  <c r="D141" i="1"/>
  <c r="E141" i="1"/>
  <c r="F141" i="1"/>
  <c r="G141" i="1"/>
  <c r="H141" i="1"/>
  <c r="I141" i="1"/>
  <c r="J141" i="1"/>
  <c r="K141" i="1"/>
  <c r="M141" i="1"/>
  <c r="N141" i="1"/>
  <c r="O141" i="1"/>
  <c r="Q141" i="1"/>
  <c r="AE141" i="1"/>
  <c r="L143" i="1"/>
  <c r="O143" i="1"/>
  <c r="W143" i="1"/>
  <c r="X143" i="1"/>
  <c r="AA143" i="1"/>
  <c r="AB143" i="1"/>
  <c r="L144" i="1"/>
  <c r="O144" i="1"/>
  <c r="W144" i="1"/>
  <c r="X144" i="1"/>
  <c r="X150" i="1" s="1"/>
  <c r="AA144" i="1"/>
  <c r="AB144" i="1" s="1"/>
  <c r="L145" i="1"/>
  <c r="O145" i="1"/>
  <c r="W145" i="1"/>
  <c r="X145" i="1"/>
  <c r="AA145" i="1"/>
  <c r="L146" i="1"/>
  <c r="O146" i="1"/>
  <c r="W146" i="1"/>
  <c r="X146" i="1"/>
  <c r="AA146" i="1"/>
  <c r="L147" i="1"/>
  <c r="O147" i="1"/>
  <c r="W147" i="1"/>
  <c r="AB147" i="1" s="1"/>
  <c r="X147" i="1"/>
  <c r="AA147" i="1"/>
  <c r="L148" i="1"/>
  <c r="O148" i="1"/>
  <c r="W148" i="1"/>
  <c r="X148" i="1"/>
  <c r="AA148" i="1"/>
  <c r="L149" i="1"/>
  <c r="O149" i="1"/>
  <c r="W149" i="1"/>
  <c r="X149" i="1"/>
  <c r="AA149" i="1"/>
  <c r="AB149" i="1"/>
  <c r="B150" i="1"/>
  <c r="C150" i="1"/>
  <c r="D150" i="1"/>
  <c r="E150" i="1"/>
  <c r="F150" i="1"/>
  <c r="G150" i="1"/>
  <c r="H150" i="1"/>
  <c r="I150" i="1"/>
  <c r="J150" i="1"/>
  <c r="K150" i="1"/>
  <c r="M150" i="1"/>
  <c r="N150" i="1"/>
  <c r="Q150" i="1"/>
  <c r="AE150" i="1"/>
  <c r="L152" i="1"/>
  <c r="O152" i="1"/>
  <c r="W152" i="1"/>
  <c r="X152" i="1"/>
  <c r="AA152" i="1"/>
  <c r="AB152" i="1"/>
  <c r="AC152" i="1" s="1"/>
  <c r="L153" i="1"/>
  <c r="L159" i="1" s="1"/>
  <c r="O153" i="1"/>
  <c r="W153" i="1"/>
  <c r="X153" i="1"/>
  <c r="AA153" i="1"/>
  <c r="L154" i="1"/>
  <c r="O154" i="1"/>
  <c r="W154" i="1"/>
  <c r="X154" i="1"/>
  <c r="AA154" i="1"/>
  <c r="AB154" i="1"/>
  <c r="L155" i="1"/>
  <c r="O155" i="1"/>
  <c r="W155" i="1"/>
  <c r="X155" i="1"/>
  <c r="AA155" i="1"/>
  <c r="L156" i="1"/>
  <c r="O156" i="1"/>
  <c r="W156" i="1"/>
  <c r="X156" i="1"/>
  <c r="AA156" i="1"/>
  <c r="L157" i="1"/>
  <c r="O157" i="1"/>
  <c r="W157" i="1"/>
  <c r="X157" i="1"/>
  <c r="AA157" i="1"/>
  <c r="L158" i="1"/>
  <c r="O158" i="1"/>
  <c r="W158" i="1"/>
  <c r="X158" i="1"/>
  <c r="AA158" i="1"/>
  <c r="AB158" i="1"/>
  <c r="B159" i="1"/>
  <c r="C159" i="1"/>
  <c r="D159" i="1"/>
  <c r="E159" i="1"/>
  <c r="F159" i="1"/>
  <c r="G159" i="1"/>
  <c r="H159" i="1"/>
  <c r="I159" i="1"/>
  <c r="J159" i="1"/>
  <c r="K159" i="1"/>
  <c r="M159" i="1"/>
  <c r="N159" i="1"/>
  <c r="Q159" i="1"/>
  <c r="X159" i="1"/>
  <c r="AE159" i="1"/>
  <c r="L161" i="1"/>
  <c r="O161" i="1"/>
  <c r="W161" i="1"/>
  <c r="X161" i="1"/>
  <c r="AA161" i="1"/>
  <c r="L162" i="1"/>
  <c r="O162" i="1"/>
  <c r="W162" i="1"/>
  <c r="X162" i="1"/>
  <c r="AA162" i="1"/>
  <c r="AB162" i="1" s="1"/>
  <c r="AC162" i="1"/>
  <c r="L163" i="1"/>
  <c r="O163" i="1"/>
  <c r="W163" i="1"/>
  <c r="X163" i="1"/>
  <c r="AA163" i="1"/>
  <c r="L164" i="1"/>
  <c r="O164" i="1"/>
  <c r="W164" i="1"/>
  <c r="X164" i="1"/>
  <c r="AA164" i="1"/>
  <c r="L165" i="1"/>
  <c r="O165" i="1"/>
  <c r="W165" i="1"/>
  <c r="X165" i="1"/>
  <c r="AA165" i="1"/>
  <c r="AB165" i="1" s="1"/>
  <c r="L166" i="1"/>
  <c r="O166" i="1"/>
  <c r="W166" i="1"/>
  <c r="X166" i="1"/>
  <c r="AA166" i="1"/>
  <c r="L167" i="1"/>
  <c r="O167" i="1"/>
  <c r="W167" i="1"/>
  <c r="X167" i="1"/>
  <c r="AA167" i="1"/>
  <c r="B168" i="1"/>
  <c r="C168" i="1"/>
  <c r="D168" i="1"/>
  <c r="E168" i="1"/>
  <c r="F168" i="1"/>
  <c r="G168" i="1"/>
  <c r="H168" i="1"/>
  <c r="I168" i="1"/>
  <c r="J168" i="1"/>
  <c r="K168" i="1"/>
  <c r="M168" i="1"/>
  <c r="N168" i="1"/>
  <c r="Q168" i="1"/>
  <c r="AE168" i="1"/>
  <c r="L170" i="1"/>
  <c r="O170" i="1"/>
  <c r="W170" i="1"/>
  <c r="X170" i="1"/>
  <c r="AA170" i="1"/>
  <c r="AB170" i="1"/>
  <c r="L171" i="1"/>
  <c r="O171" i="1"/>
  <c r="W171" i="1"/>
  <c r="X171" i="1"/>
  <c r="AA171" i="1"/>
  <c r="L172" i="1"/>
  <c r="O172" i="1"/>
  <c r="W172" i="1"/>
  <c r="X172" i="1"/>
  <c r="AA172" i="1"/>
  <c r="L173" i="1"/>
  <c r="L177" i="1" s="1"/>
  <c r="O173" i="1"/>
  <c r="W173" i="1"/>
  <c r="X173" i="1"/>
  <c r="AA173" i="1"/>
  <c r="L174" i="1"/>
  <c r="O174" i="1"/>
  <c r="W174" i="1"/>
  <c r="X174" i="1"/>
  <c r="AA174" i="1"/>
  <c r="L175" i="1"/>
  <c r="O175" i="1"/>
  <c r="W175" i="1"/>
  <c r="X175" i="1"/>
  <c r="AA175" i="1"/>
  <c r="AB175" i="1" s="1"/>
  <c r="AC175" i="1"/>
  <c r="L176" i="1"/>
  <c r="O176" i="1"/>
  <c r="W176" i="1"/>
  <c r="X176" i="1"/>
  <c r="AA176" i="1"/>
  <c r="AB176" i="1" s="1"/>
  <c r="B177" i="1"/>
  <c r="C177" i="1"/>
  <c r="D177" i="1"/>
  <c r="E177" i="1"/>
  <c r="F177" i="1"/>
  <c r="G177" i="1"/>
  <c r="H177" i="1"/>
  <c r="I177" i="1"/>
  <c r="J177" i="1"/>
  <c r="K177" i="1"/>
  <c r="M177" i="1"/>
  <c r="N177" i="1"/>
  <c r="Q177" i="1"/>
  <c r="AE177" i="1"/>
  <c r="L179" i="1"/>
  <c r="O179" i="1"/>
  <c r="W179" i="1"/>
  <c r="X179" i="1"/>
  <c r="AA179" i="1"/>
  <c r="L180" i="1"/>
  <c r="L186" i="1" s="1"/>
  <c r="O180" i="1"/>
  <c r="W180" i="1"/>
  <c r="X180" i="1"/>
  <c r="AA180" i="1"/>
  <c r="L181" i="1"/>
  <c r="O181" i="1"/>
  <c r="W181" i="1"/>
  <c r="X181" i="1"/>
  <c r="AA181" i="1"/>
  <c r="AB181" i="1" s="1"/>
  <c r="L182" i="1"/>
  <c r="O182" i="1"/>
  <c r="W182" i="1"/>
  <c r="X182" i="1"/>
  <c r="AA182" i="1"/>
  <c r="L183" i="1"/>
  <c r="O183" i="1"/>
  <c r="W183" i="1"/>
  <c r="X183" i="1"/>
  <c r="AA183" i="1"/>
  <c r="L184" i="1"/>
  <c r="O184" i="1"/>
  <c r="W184" i="1"/>
  <c r="X184" i="1"/>
  <c r="AA184" i="1"/>
  <c r="AB184" i="1" s="1"/>
  <c r="AC184" i="1"/>
  <c r="L185" i="1"/>
  <c r="O185" i="1"/>
  <c r="W185" i="1"/>
  <c r="X185" i="1"/>
  <c r="AA185" i="1"/>
  <c r="AB185" i="1"/>
  <c r="AC185" i="1"/>
  <c r="B186" i="1"/>
  <c r="C186" i="1"/>
  <c r="D186" i="1"/>
  <c r="E186" i="1"/>
  <c r="F186" i="1"/>
  <c r="G186" i="1"/>
  <c r="H186" i="1"/>
  <c r="I186" i="1"/>
  <c r="J186" i="1"/>
  <c r="K186" i="1"/>
  <c r="M186" i="1"/>
  <c r="N186" i="1"/>
  <c r="Q186" i="1"/>
  <c r="AE186" i="1"/>
  <c r="L188" i="1"/>
  <c r="O188" i="1"/>
  <c r="W188" i="1"/>
  <c r="X188" i="1"/>
  <c r="AA188" i="1"/>
  <c r="L189" i="1"/>
  <c r="O189" i="1"/>
  <c r="W189" i="1"/>
  <c r="AB189" i="1" s="1"/>
  <c r="X189" i="1"/>
  <c r="AA189" i="1"/>
  <c r="L190" i="1"/>
  <c r="O190" i="1"/>
  <c r="W190" i="1"/>
  <c r="X190" i="1"/>
  <c r="AA190" i="1"/>
  <c r="AB190" i="1"/>
  <c r="L191" i="1"/>
  <c r="O191" i="1"/>
  <c r="W191" i="1"/>
  <c r="X191" i="1"/>
  <c r="AA191" i="1"/>
  <c r="AB191" i="1" s="1"/>
  <c r="L192" i="1"/>
  <c r="O192" i="1"/>
  <c r="W192" i="1"/>
  <c r="X192" i="1"/>
  <c r="AA192" i="1"/>
  <c r="AB192" i="1"/>
  <c r="L193" i="1"/>
  <c r="O193" i="1"/>
  <c r="W193" i="1"/>
  <c r="X193" i="1"/>
  <c r="AA193" i="1"/>
  <c r="L194" i="1"/>
  <c r="O194" i="1"/>
  <c r="W194" i="1"/>
  <c r="X194" i="1"/>
  <c r="AA194" i="1"/>
  <c r="B195" i="1"/>
  <c r="C195" i="1"/>
  <c r="D195" i="1"/>
  <c r="E195" i="1"/>
  <c r="F195" i="1"/>
  <c r="G195" i="1"/>
  <c r="H195" i="1"/>
  <c r="I195" i="1"/>
  <c r="J195" i="1"/>
  <c r="K195" i="1"/>
  <c r="M195" i="1"/>
  <c r="N195" i="1"/>
  <c r="Q195" i="1"/>
  <c r="AE195" i="1"/>
  <c r="L197" i="1"/>
  <c r="O197" i="1"/>
  <c r="W197" i="1"/>
  <c r="X197" i="1"/>
  <c r="AA197" i="1"/>
  <c r="L198" i="1"/>
  <c r="O198" i="1"/>
  <c r="W198" i="1"/>
  <c r="X198" i="1"/>
  <c r="AA198" i="1"/>
  <c r="AB198" i="1" s="1"/>
  <c r="L199" i="1"/>
  <c r="L204" i="1" s="1"/>
  <c r="O199" i="1"/>
  <c r="W199" i="1"/>
  <c r="X199" i="1"/>
  <c r="AA199" i="1"/>
  <c r="L200" i="1"/>
  <c r="O200" i="1"/>
  <c r="W200" i="1"/>
  <c r="X200" i="1"/>
  <c r="AA200" i="1"/>
  <c r="AB200" i="1" s="1"/>
  <c r="AC200" i="1" s="1"/>
  <c r="L201" i="1"/>
  <c r="O201" i="1"/>
  <c r="W201" i="1"/>
  <c r="X201" i="1"/>
  <c r="AA201" i="1"/>
  <c r="L202" i="1"/>
  <c r="O202" i="1"/>
  <c r="W202" i="1"/>
  <c r="X202" i="1"/>
  <c r="AA202" i="1"/>
  <c r="AB202" i="1" s="1"/>
  <c r="AC202" i="1" s="1"/>
  <c r="L203" i="1"/>
  <c r="O203" i="1"/>
  <c r="W203" i="1"/>
  <c r="X203" i="1"/>
  <c r="AA203" i="1"/>
  <c r="B204" i="1"/>
  <c r="C204" i="1"/>
  <c r="D204" i="1"/>
  <c r="E204" i="1"/>
  <c r="F204" i="1"/>
  <c r="G204" i="1"/>
  <c r="H204" i="1"/>
  <c r="I204" i="1"/>
  <c r="J204" i="1"/>
  <c r="K204" i="1"/>
  <c r="M204" i="1"/>
  <c r="N204" i="1"/>
  <c r="Q204" i="1"/>
  <c r="AE204" i="1"/>
  <c r="L206" i="1"/>
  <c r="O206" i="1"/>
  <c r="W206" i="1"/>
  <c r="X206" i="1"/>
  <c r="AA206" i="1"/>
  <c r="AB206" i="1"/>
  <c r="AC206" i="1"/>
  <c r="L207" i="1"/>
  <c r="L213" i="1" s="1"/>
  <c r="O207" i="1"/>
  <c r="W207" i="1"/>
  <c r="X207" i="1"/>
  <c r="AA207" i="1"/>
  <c r="AB207" i="1" s="1"/>
  <c r="AC207" i="1"/>
  <c r="L208" i="1"/>
  <c r="O208" i="1"/>
  <c r="W208" i="1"/>
  <c r="X208" i="1"/>
  <c r="AB208" i="1" s="1"/>
  <c r="AA208" i="1"/>
  <c r="L209" i="1"/>
  <c r="O209" i="1"/>
  <c r="W209" i="1"/>
  <c r="X209" i="1"/>
  <c r="AA209" i="1"/>
  <c r="AB209" i="1" s="1"/>
  <c r="L210" i="1"/>
  <c r="O210" i="1"/>
  <c r="W210" i="1"/>
  <c r="X210" i="1"/>
  <c r="AA210" i="1"/>
  <c r="L211" i="1"/>
  <c r="O211" i="1"/>
  <c r="W211" i="1"/>
  <c r="X211" i="1"/>
  <c r="AA211" i="1"/>
  <c r="L212" i="1"/>
  <c r="O212" i="1"/>
  <c r="W212" i="1"/>
  <c r="X212" i="1"/>
  <c r="AA212" i="1"/>
  <c r="AB212" i="1" s="1"/>
  <c r="B213" i="1"/>
  <c r="C213" i="1"/>
  <c r="D213" i="1"/>
  <c r="E213" i="1"/>
  <c r="F213" i="1"/>
  <c r="G213" i="1"/>
  <c r="H213" i="1"/>
  <c r="I213" i="1"/>
  <c r="J213" i="1"/>
  <c r="K213" i="1"/>
  <c r="M213" i="1"/>
  <c r="N213" i="1"/>
  <c r="Q213" i="1"/>
  <c r="AE213" i="1"/>
  <c r="L215" i="1"/>
  <c r="O215" i="1"/>
  <c r="W215" i="1"/>
  <c r="X215" i="1"/>
  <c r="AA215" i="1"/>
  <c r="L216" i="1"/>
  <c r="O216" i="1"/>
  <c r="W216" i="1"/>
  <c r="X216" i="1"/>
  <c r="AA216" i="1"/>
  <c r="AB216" i="1" s="1"/>
  <c r="L217" i="1"/>
  <c r="O217" i="1"/>
  <c r="W217" i="1"/>
  <c r="X217" i="1"/>
  <c r="AA217" i="1"/>
  <c r="AB217" i="1"/>
  <c r="AC217" i="1"/>
  <c r="L218" i="1"/>
  <c r="O218" i="1"/>
  <c r="W218" i="1"/>
  <c r="X218" i="1"/>
  <c r="AA218" i="1"/>
  <c r="L219" i="1"/>
  <c r="O219" i="1"/>
  <c r="W219" i="1"/>
  <c r="X219" i="1"/>
  <c r="AA219" i="1"/>
  <c r="AB219" i="1"/>
  <c r="L220" i="1"/>
  <c r="O220" i="1"/>
  <c r="W220" i="1"/>
  <c r="X220" i="1"/>
  <c r="AA220" i="1"/>
  <c r="L221" i="1"/>
  <c r="O221" i="1"/>
  <c r="W221" i="1"/>
  <c r="X221" i="1"/>
  <c r="AA221" i="1"/>
  <c r="B222" i="1"/>
  <c r="C222" i="1"/>
  <c r="D222" i="1"/>
  <c r="E222" i="1"/>
  <c r="F222" i="1"/>
  <c r="G222" i="1"/>
  <c r="H222" i="1"/>
  <c r="I222" i="1"/>
  <c r="J222" i="1"/>
  <c r="K222" i="1"/>
  <c r="M222" i="1"/>
  <c r="N222" i="1"/>
  <c r="Q222" i="1"/>
  <c r="AE222" i="1"/>
  <c r="L224" i="1"/>
  <c r="O224" i="1"/>
  <c r="W224" i="1"/>
  <c r="X224" i="1"/>
  <c r="X231" i="1" s="1"/>
  <c r="AA224" i="1"/>
  <c r="AB224" i="1"/>
  <c r="L225" i="1"/>
  <c r="L231" i="1" s="1"/>
  <c r="O225" i="1"/>
  <c r="W225" i="1"/>
  <c r="X225" i="1"/>
  <c r="AA225" i="1"/>
  <c r="L226" i="1"/>
  <c r="O226" i="1"/>
  <c r="W226" i="1"/>
  <c r="X226" i="1"/>
  <c r="AA226" i="1"/>
  <c r="L227" i="1"/>
  <c r="O227" i="1"/>
  <c r="W227" i="1"/>
  <c r="X227" i="1"/>
  <c r="AA227" i="1"/>
  <c r="AB227" i="1" s="1"/>
  <c r="AC227" i="1"/>
  <c r="L228" i="1"/>
  <c r="O228" i="1"/>
  <c r="W228" i="1"/>
  <c r="X228" i="1"/>
  <c r="AA228" i="1"/>
  <c r="AB228" i="1"/>
  <c r="AC228" i="1"/>
  <c r="L229" i="1"/>
  <c r="O229" i="1"/>
  <c r="W229" i="1"/>
  <c r="X229" i="1"/>
  <c r="AA229" i="1"/>
  <c r="L230" i="1"/>
  <c r="O230" i="1"/>
  <c r="W230" i="1"/>
  <c r="X230" i="1"/>
  <c r="AA230" i="1"/>
  <c r="AB230" i="1"/>
  <c r="B231" i="1"/>
  <c r="C231" i="1"/>
  <c r="D231" i="1"/>
  <c r="E231" i="1"/>
  <c r="F231" i="1"/>
  <c r="G231" i="1"/>
  <c r="H231" i="1"/>
  <c r="I231" i="1"/>
  <c r="J231" i="1"/>
  <c r="K231" i="1"/>
  <c r="M231" i="1"/>
  <c r="N231" i="1"/>
  <c r="Q231" i="1"/>
  <c r="AE231" i="1"/>
  <c r="L233" i="1"/>
  <c r="L240" i="1" s="1"/>
  <c r="O233" i="1"/>
  <c r="W233" i="1"/>
  <c r="AB233" i="1" s="1"/>
  <c r="X233" i="1"/>
  <c r="AA233" i="1"/>
  <c r="L234" i="1"/>
  <c r="O234" i="1"/>
  <c r="W234" i="1"/>
  <c r="X234" i="1"/>
  <c r="X240" i="1" s="1"/>
  <c r="AA234" i="1"/>
  <c r="AB234" i="1"/>
  <c r="AC234" i="1"/>
  <c r="L235" i="1"/>
  <c r="O235" i="1"/>
  <c r="W235" i="1"/>
  <c r="AB235" i="1" s="1"/>
  <c r="X235" i="1"/>
  <c r="AA235" i="1"/>
  <c r="L236" i="1"/>
  <c r="O236" i="1"/>
  <c r="W236" i="1"/>
  <c r="X236" i="1"/>
  <c r="AA236" i="1"/>
  <c r="AB236" i="1" s="1"/>
  <c r="L237" i="1"/>
  <c r="O237" i="1"/>
  <c r="W237" i="1"/>
  <c r="X237" i="1"/>
  <c r="AA237" i="1"/>
  <c r="L238" i="1"/>
  <c r="O238" i="1"/>
  <c r="W238" i="1"/>
  <c r="X238" i="1"/>
  <c r="AA238" i="1"/>
  <c r="AB238" i="1" s="1"/>
  <c r="AC238" i="1"/>
  <c r="L239" i="1"/>
  <c r="O239" i="1"/>
  <c r="W239" i="1"/>
  <c r="AB239" i="1" s="1"/>
  <c r="X239" i="1"/>
  <c r="AA239" i="1"/>
  <c r="B240" i="1"/>
  <c r="C240" i="1"/>
  <c r="D240" i="1"/>
  <c r="E240" i="1"/>
  <c r="F240" i="1"/>
  <c r="G240" i="1"/>
  <c r="H240" i="1"/>
  <c r="I240" i="1"/>
  <c r="J240" i="1"/>
  <c r="K240" i="1"/>
  <c r="M240" i="1"/>
  <c r="N240" i="1"/>
  <c r="Q240" i="1"/>
  <c r="AE240" i="1"/>
  <c r="AB237" i="1" l="1"/>
  <c r="AC237" i="1" s="1"/>
  <c r="AB229" i="1"/>
  <c r="AC229" i="1" s="1"/>
  <c r="O231" i="1"/>
  <c r="AB226" i="1"/>
  <c r="AC226" i="1" s="1"/>
  <c r="X222" i="1"/>
  <c r="AC216" i="1"/>
  <c r="AB215" i="1"/>
  <c r="AC215" i="1" s="1"/>
  <c r="X213" i="1"/>
  <c r="AB199" i="1"/>
  <c r="AC199" i="1" s="1"/>
  <c r="O204" i="1"/>
  <c r="AB193" i="1"/>
  <c r="AC193" i="1" s="1"/>
  <c r="AC189" i="1"/>
  <c r="AB194" i="1"/>
  <c r="AC194" i="1" s="1"/>
  <c r="O195" i="1"/>
  <c r="AC191" i="1"/>
  <c r="X186" i="1"/>
  <c r="AB179" i="1"/>
  <c r="AC179" i="1" s="1"/>
  <c r="X177" i="1"/>
  <c r="O168" i="1"/>
  <c r="AB167" i="1"/>
  <c r="AC167" i="1" s="1"/>
  <c r="AB166" i="1"/>
  <c r="AC166" i="1" s="1"/>
  <c r="AB163" i="1"/>
  <c r="AC163" i="1" s="1"/>
  <c r="AB157" i="1"/>
  <c r="AC157" i="1" s="1"/>
  <c r="L150" i="1"/>
  <c r="AB146" i="1"/>
  <c r="O150" i="1"/>
  <c r="AB135" i="1"/>
  <c r="AC135" i="1" s="1"/>
  <c r="X132" i="1"/>
  <c r="AA132" i="1"/>
  <c r="AB127" i="1"/>
  <c r="AB111" i="1"/>
  <c r="AC111" i="1" s="1"/>
  <c r="AB109" i="1"/>
  <c r="AC109" i="1" s="1"/>
  <c r="AB102" i="1"/>
  <c r="AC102" i="1" s="1"/>
  <c r="AB101" i="1"/>
  <c r="AB94" i="1"/>
  <c r="AC94" i="1" s="1"/>
  <c r="AB92" i="1"/>
  <c r="AC92" i="1" s="1"/>
  <c r="AB91" i="1"/>
  <c r="O96" i="1"/>
  <c r="O87" i="1"/>
  <c r="AB84" i="1"/>
  <c r="AC84" i="1" s="1"/>
  <c r="AB81" i="1"/>
  <c r="AC81" i="1" s="1"/>
  <c r="L78" i="1"/>
  <c r="B244" i="1"/>
  <c r="AC76" i="1"/>
  <c r="AB73" i="1"/>
  <c r="AA78" i="1"/>
  <c r="AB71" i="1"/>
  <c r="AC71" i="1" s="1"/>
  <c r="AC203" i="1"/>
  <c r="AC212" i="1"/>
  <c r="AB67" i="1"/>
  <c r="AC67" i="1" s="1"/>
  <c r="AB221" i="1"/>
  <c r="AC221" i="1" s="1"/>
  <c r="AB180" i="1"/>
  <c r="AC180" i="1" s="1"/>
  <c r="AB128" i="1"/>
  <c r="AC128" i="1" s="1"/>
  <c r="AC201" i="1"/>
  <c r="AC120" i="1"/>
  <c r="AB211" i="1"/>
  <c r="AC211" i="1" s="1"/>
  <c r="AB174" i="1"/>
  <c r="AC174" i="1" s="1"/>
  <c r="AC158" i="1"/>
  <c r="AB148" i="1"/>
  <c r="AC148" i="1" s="1"/>
  <c r="AC146" i="1"/>
  <c r="W123" i="1"/>
  <c r="AB72" i="1"/>
  <c r="AC72" i="1" s="1"/>
  <c r="AC27" i="1"/>
  <c r="AC239" i="1"/>
  <c r="AB203" i="1"/>
  <c r="W150" i="1"/>
  <c r="AB74" i="1"/>
  <c r="AC74" i="1" s="1"/>
  <c r="AB66" i="1"/>
  <c r="AB47" i="1"/>
  <c r="AC47" i="1" s="1"/>
  <c r="AB31" i="1"/>
  <c r="AC31" i="1" s="1"/>
  <c r="AB23" i="1"/>
  <c r="AC23" i="1" s="1"/>
  <c r="AB220" i="1"/>
  <c r="AC220" i="1" s="1"/>
  <c r="AB218" i="1"/>
  <c r="AC218" i="1" s="1"/>
  <c r="AB201" i="1"/>
  <c r="AB155" i="1"/>
  <c r="AC155" i="1" s="1"/>
  <c r="AB153" i="1"/>
  <c r="AC153" i="1" s="1"/>
  <c r="AB68" i="1"/>
  <c r="X69" i="1"/>
  <c r="AC68" i="1"/>
  <c r="AC66" i="1"/>
  <c r="O69" i="1"/>
  <c r="AB59" i="1"/>
  <c r="AC59" i="1" s="1"/>
  <c r="AB48" i="1"/>
  <c r="AC48" i="1" s="1"/>
  <c r="AB49" i="1"/>
  <c r="AC49" i="1" s="1"/>
  <c r="AB45" i="1"/>
  <c r="AC45" i="1" s="1"/>
  <c r="Q244" i="1"/>
  <c r="AB21" i="1"/>
  <c r="AB19" i="1"/>
  <c r="AC19" i="1" s="1"/>
  <c r="X24" i="1"/>
  <c r="AA24" i="1"/>
  <c r="AB14" i="1"/>
  <c r="AC14" i="1" s="1"/>
  <c r="AB13" i="1"/>
  <c r="AC13" i="1" s="1"/>
  <c r="AB12" i="1"/>
  <c r="AC12" i="1" s="1"/>
  <c r="AC11" i="1"/>
  <c r="X15" i="1"/>
  <c r="AB10" i="1"/>
  <c r="AC10" i="1" s="1"/>
  <c r="AA15" i="1"/>
  <c r="N244" i="1"/>
  <c r="O213" i="1"/>
  <c r="AC35" i="1"/>
  <c r="AA195" i="1"/>
  <c r="AB110" i="1"/>
  <c r="AC110" i="1" s="1"/>
  <c r="AA114" i="1"/>
  <c r="W96" i="1"/>
  <c r="AB80" i="1"/>
  <c r="AC80" i="1" s="1"/>
  <c r="X87" i="1"/>
  <c r="AA231" i="1"/>
  <c r="AB225" i="1"/>
  <c r="AC225" i="1" s="1"/>
  <c r="AC122" i="1"/>
  <c r="AA105" i="1"/>
  <c r="AA69" i="1"/>
  <c r="AB63" i="1"/>
  <c r="AC63" i="1" s="1"/>
  <c r="AC39" i="1"/>
  <c r="AC17" i="1"/>
  <c r="W240" i="1"/>
  <c r="AA213" i="1"/>
  <c r="AC127" i="1"/>
  <c r="W222" i="1"/>
  <c r="W177" i="1"/>
  <c r="W159" i="1"/>
  <c r="AA96" i="1"/>
  <c r="AC136" i="1"/>
  <c r="AA123" i="1"/>
  <c r="AB117" i="1"/>
  <c r="AC117" i="1" s="1"/>
  <c r="AC50" i="1"/>
  <c r="AE244" i="1"/>
  <c r="H244" i="1"/>
  <c r="O222" i="1"/>
  <c r="O159" i="1"/>
  <c r="AB75" i="1"/>
  <c r="AC75" i="1" s="1"/>
  <c r="AB118" i="1"/>
  <c r="AC118" i="1"/>
  <c r="AC101" i="1"/>
  <c r="W105" i="1"/>
  <c r="AC236" i="1"/>
  <c r="W87" i="1"/>
  <c r="O78" i="1"/>
  <c r="AB129" i="1"/>
  <c r="AC129" i="1" s="1"/>
  <c r="AC125" i="1"/>
  <c r="L60" i="1"/>
  <c r="AC41" i="1"/>
  <c r="AA222" i="1"/>
  <c r="AC209" i="1"/>
  <c r="AB164" i="1"/>
  <c r="AC164" i="1" s="1"/>
  <c r="AA168" i="1"/>
  <c r="AB134" i="1"/>
  <c r="AC134" i="1" s="1"/>
  <c r="X141" i="1"/>
  <c r="L87" i="1"/>
  <c r="AC46" i="1"/>
  <c r="J244" i="1"/>
  <c r="W213" i="1"/>
  <c r="AA186" i="1"/>
  <c r="AC176" i="1"/>
  <c r="O177" i="1"/>
  <c r="AA159" i="1"/>
  <c r="AB140" i="1"/>
  <c r="AC140" i="1" s="1"/>
  <c r="W141" i="1"/>
  <c r="AC9" i="1"/>
  <c r="L114" i="1"/>
  <c r="AC89" i="1"/>
  <c r="AC57" i="1"/>
  <c r="O51" i="1"/>
  <c r="W168" i="1"/>
  <c r="AA150" i="1"/>
  <c r="AC91" i="1"/>
  <c r="X78" i="1"/>
  <c r="AB161" i="1"/>
  <c r="AC161" i="1" s="1"/>
  <c r="X168" i="1"/>
  <c r="AC165" i="1"/>
  <c r="AC73" i="1"/>
  <c r="AA33" i="1"/>
  <c r="W186" i="1"/>
  <c r="W60" i="1"/>
  <c r="AB86" i="1"/>
  <c r="AC86" i="1" s="1"/>
  <c r="AC82" i="1"/>
  <c r="AC37" i="1"/>
  <c r="AC144" i="1"/>
  <c r="W204" i="1"/>
  <c r="W114" i="1"/>
  <c r="O24" i="1"/>
  <c r="AC198" i="1"/>
  <c r="AC138" i="1"/>
  <c r="O132" i="1"/>
  <c r="L222" i="1"/>
  <c r="AC181" i="1"/>
  <c r="AB188" i="1"/>
  <c r="AC188" i="1" s="1"/>
  <c r="X195" i="1"/>
  <c r="AA87" i="1"/>
  <c r="AC36" i="1"/>
  <c r="AC26" i="1"/>
  <c r="W33" i="1"/>
  <c r="AC235" i="1"/>
  <c r="AB197" i="1"/>
  <c r="AC197" i="1" s="1"/>
  <c r="AC192" i="1"/>
  <c r="AC190" i="1"/>
  <c r="O186" i="1"/>
  <c r="AA177" i="1"/>
  <c r="AB171" i="1"/>
  <c r="AC171" i="1" s="1"/>
  <c r="AB107" i="1"/>
  <c r="AC107" i="1" s="1"/>
  <c r="X114" i="1"/>
  <c r="AC93" i="1"/>
  <c r="AC85" i="1"/>
  <c r="AB32" i="1"/>
  <c r="AC32" i="1"/>
  <c r="AC30" i="1"/>
  <c r="F244" i="1"/>
  <c r="AC230" i="1"/>
  <c r="AC219" i="1"/>
  <c r="AA204" i="1"/>
  <c r="L168" i="1"/>
  <c r="AB145" i="1"/>
  <c r="AC145" i="1" s="1"/>
  <c r="AC143" i="1"/>
  <c r="AB139" i="1"/>
  <c r="AC139" i="1" s="1"/>
  <c r="AB130" i="1"/>
  <c r="AC130" i="1" s="1"/>
  <c r="AB113" i="1"/>
  <c r="AC113" i="1" s="1"/>
  <c r="AC104" i="1"/>
  <c r="O105" i="1"/>
  <c r="G244" i="1"/>
  <c r="W42" i="1"/>
  <c r="L33" i="1"/>
  <c r="W24" i="1"/>
  <c r="X204" i="1"/>
  <c r="AC112" i="1"/>
  <c r="AB172" i="1"/>
  <c r="AC172" i="1" s="1"/>
  <c r="AB53" i="1"/>
  <c r="AC53" i="1" s="1"/>
  <c r="X60" i="1"/>
  <c r="AB183" i="1"/>
  <c r="AC183" i="1"/>
  <c r="AA240" i="1"/>
  <c r="AB240" i="1" s="1"/>
  <c r="L141" i="1"/>
  <c r="AC100" i="1"/>
  <c r="AC95" i="1"/>
  <c r="W78" i="1"/>
  <c r="O60" i="1"/>
  <c r="AC28" i="1"/>
  <c r="AC233" i="1"/>
  <c r="W195" i="1"/>
  <c r="X123" i="1"/>
  <c r="O240" i="1"/>
  <c r="W231" i="1"/>
  <c r="AB210" i="1"/>
  <c r="AC210" i="1" s="1"/>
  <c r="AC208" i="1"/>
  <c r="L195" i="1"/>
  <c r="AB182" i="1"/>
  <c r="AC182" i="1" s="1"/>
  <c r="AB173" i="1"/>
  <c r="AC173" i="1" s="1"/>
  <c r="AB156" i="1"/>
  <c r="AC156" i="1" s="1"/>
  <c r="AC154" i="1"/>
  <c r="AC149" i="1"/>
  <c r="AC147" i="1"/>
  <c r="AA141" i="1"/>
  <c r="W132" i="1"/>
  <c r="O114" i="1"/>
  <c r="AB90" i="1"/>
  <c r="AC90" i="1" s="1"/>
  <c r="AB64" i="1"/>
  <c r="AC64" i="1" s="1"/>
  <c r="W69" i="1"/>
  <c r="AB58" i="1"/>
  <c r="AC58" i="1" s="1"/>
  <c r="AB56" i="1"/>
  <c r="AC56" i="1" s="1"/>
  <c r="AA60" i="1"/>
  <c r="AC54" i="1"/>
  <c r="W51" i="1"/>
  <c r="AB35" i="1"/>
  <c r="AA42" i="1"/>
  <c r="AC20" i="1"/>
  <c r="AC8" i="1"/>
  <c r="X33" i="1"/>
  <c r="AC21" i="1"/>
  <c r="AC224" i="1"/>
  <c r="AC170" i="1"/>
  <c r="AC116" i="1"/>
  <c r="AC62" i="1"/>
  <c r="AB159" i="1" l="1"/>
  <c r="AB150" i="1"/>
  <c r="AC150" i="1" s="1"/>
  <c r="AB132" i="1"/>
  <c r="AC132" i="1" s="1"/>
  <c r="AB114" i="1"/>
  <c r="AC114" i="1" s="1"/>
  <c r="L244" i="1"/>
  <c r="AB186" i="1"/>
  <c r="AC186" i="1" s="1"/>
  <c r="AB96" i="1"/>
  <c r="AC96" i="1" s="1"/>
  <c r="AB105" i="1"/>
  <c r="AC105" i="1" s="1"/>
  <c r="AB42" i="1"/>
  <c r="AB87" i="1"/>
  <c r="AC87" i="1" s="1"/>
  <c r="AB141" i="1"/>
  <c r="AB123" i="1"/>
  <c r="AC123" i="1" s="1"/>
  <c r="AB213" i="1"/>
  <c r="AC213" i="1" s="1"/>
  <c r="AB231" i="1"/>
  <c r="AC231" i="1" s="1"/>
  <c r="O244" i="1"/>
  <c r="AB24" i="1"/>
  <c r="AC24" i="1" s="1"/>
  <c r="X244" i="1"/>
  <c r="AB15" i="1"/>
  <c r="AC15" i="1" s="1"/>
  <c r="AB177" i="1"/>
  <c r="AC177" i="1" s="1"/>
  <c r="AC240" i="1"/>
  <c r="AB168" i="1"/>
  <c r="AC168" i="1" s="1"/>
  <c r="AB222" i="1"/>
  <c r="AC222" i="1" s="1"/>
  <c r="W244" i="1"/>
  <c r="AA244" i="1"/>
  <c r="AB78" i="1"/>
  <c r="AC78" i="1" s="1"/>
  <c r="AC141" i="1"/>
  <c r="AB69" i="1"/>
  <c r="AC69" i="1" s="1"/>
  <c r="AC33" i="1"/>
  <c r="AC42" i="1"/>
  <c r="AB60" i="1"/>
  <c r="AC60" i="1" s="1"/>
  <c r="AB204" i="1"/>
  <c r="AC204" i="1" s="1"/>
  <c r="AB33" i="1"/>
  <c r="AC159" i="1"/>
  <c r="AB195" i="1"/>
  <c r="AC195" i="1" s="1"/>
  <c r="AB51" i="1"/>
  <c r="AC51" i="1" s="1"/>
  <c r="AB244" i="1" l="1"/>
  <c r="AC244" i="1"/>
</calcChain>
</file>

<file path=xl/sharedStrings.xml><?xml version="1.0" encoding="utf-8"?>
<sst xmlns="http://schemas.openxmlformats.org/spreadsheetml/2006/main" count="290" uniqueCount="83">
  <si>
    <t>Time Portal Payroll Import</t>
  </si>
  <si>
    <t>Weekly</t>
  </si>
  <si>
    <t>Eberry</t>
  </si>
  <si>
    <t>Work Week:</t>
  </si>
  <si>
    <t>through</t>
  </si>
  <si>
    <t>Bedners H2A</t>
  </si>
  <si>
    <t>Pay Date:</t>
  </si>
  <si>
    <t>Piece Rates</t>
  </si>
  <si>
    <t>*Weekly totals are not the sum of daily totals</t>
  </si>
  <si>
    <t>Total Pieces</t>
  </si>
  <si>
    <t>Piece Work Hours</t>
  </si>
  <si>
    <t>Regular Hours</t>
  </si>
  <si>
    <t>Total Hours</t>
  </si>
  <si>
    <t>Hourly Pay Rate</t>
  </si>
  <si>
    <t>Hours         Offered</t>
  </si>
  <si>
    <t>Start Time</t>
  </si>
  <si>
    <t>Break Start Time</t>
  </si>
  <si>
    <t>Break Duration</t>
  </si>
  <si>
    <t>Location Name</t>
  </si>
  <si>
    <t>Crop/Variety Name</t>
  </si>
  <si>
    <t>Piece Pay</t>
  </si>
  <si>
    <t>Regular Hours Pay</t>
  </si>
  <si>
    <t>Piece Min Wage Rate</t>
  </si>
  <si>
    <t>Hourly Min Wage Rate</t>
  </si>
  <si>
    <t>Minimum Pay</t>
  </si>
  <si>
    <t>*Makeup Pay</t>
  </si>
  <si>
    <t>*Total Wage</t>
  </si>
  <si>
    <t>Crew Code</t>
  </si>
  <si>
    <t>Deductions</t>
  </si>
  <si>
    <t>640906</t>
  </si>
  <si>
    <t>Alvaro Nava Martinez</t>
  </si>
  <si>
    <t>Total:</t>
  </si>
  <si>
    <t>644049</t>
  </si>
  <si>
    <t>Angel Misael Sarinana Arango</t>
  </si>
  <si>
    <t>641623</t>
  </si>
  <si>
    <t>Antonio Perez Perez</t>
  </si>
  <si>
    <t>644048</t>
  </si>
  <si>
    <t>Bruno Cesar Cornejo Ayala</t>
  </si>
  <si>
    <t>640890</t>
  </si>
  <si>
    <t>Carlos Eduardo Leon Ramirez</t>
  </si>
  <si>
    <t>641624</t>
  </si>
  <si>
    <t>Cesar De La Torre Robledo</t>
  </si>
  <si>
    <t>647240</t>
  </si>
  <si>
    <t>Cesar Yajasiel De La Torre Guerrero</t>
  </si>
  <si>
    <t>644047</t>
  </si>
  <si>
    <t>Diego Ulises Bucio Fernandez</t>
  </si>
  <si>
    <t>640886</t>
  </si>
  <si>
    <t>Gabriel Gomez Hernandez</t>
  </si>
  <si>
    <t>641625</t>
  </si>
  <si>
    <t>Guillermo Vicente Hernandez</t>
  </si>
  <si>
    <t>644054</t>
  </si>
  <si>
    <t>Hector Calderon Rios</t>
  </si>
  <si>
    <t>640884</t>
  </si>
  <si>
    <t>Jhony De Jesus Calvo Hernandez</t>
  </si>
  <si>
    <t>604446</t>
  </si>
  <si>
    <t>Jose Antonio Galvan Aguiera</t>
  </si>
  <si>
    <t>641626</t>
  </si>
  <si>
    <t>Jose Armando Contreras Pulido</t>
  </si>
  <si>
    <t>640905</t>
  </si>
  <si>
    <t>Jose Luis Munoz Mata</t>
  </si>
  <si>
    <t>644053</t>
  </si>
  <si>
    <t>Jose Manuel Briseno Cortes</t>
  </si>
  <si>
    <t>644052</t>
  </si>
  <si>
    <t>Juan Alejandro Contreras Pulido</t>
  </si>
  <si>
    <t>647460</t>
  </si>
  <si>
    <t>Juan Alfonso Mendoza Betancourt</t>
  </si>
  <si>
    <t>644051</t>
  </si>
  <si>
    <t>Juan Antonio Parra Amaya</t>
  </si>
  <si>
    <t>640907</t>
  </si>
  <si>
    <t>Juan Bernardo Sarinana Arango</t>
  </si>
  <si>
    <t>640904</t>
  </si>
  <si>
    <t>Luis Alfonso Mendoza Ponce</t>
  </si>
  <si>
    <t>641627</t>
  </si>
  <si>
    <t>Monicasio Lopez Cesena</t>
  </si>
  <si>
    <t>640903</t>
  </si>
  <si>
    <t>Pedro Leon Ramirez</t>
  </si>
  <si>
    <t>641628</t>
  </si>
  <si>
    <t>Ramiro Martinez Martinez</t>
  </si>
  <si>
    <t>644105</t>
  </si>
  <si>
    <t>Salvador Ortiz Hinojosa</t>
  </si>
  <si>
    <t>647238</t>
  </si>
  <si>
    <t>Saul Bueno Rodriguez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</si>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</sst>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"/>
    <numFmt numFmtId="166" formatCode="m/d;@"/>
    <numFmt numFmtId="167" formatCode="[$-409]h:mm\ AM/PM;@"/>
  </numFmts>
  <fonts count="12" x14ac:knownFonts="1">
    <font>
      <sz val="11"/>
      <color theme="1"/>
      <name val="Calibri"/>
      <family val="2"/>
      <scheme val="minor"/>
    </font>
    <font>
      <sz val="10"/>
      <color indexed="11"/>
      <name val="Arial"/>
      <family val="2"/>
    </font>
    <font>
      <sz val="10"/>
      <color indexed="11"/>
      <name val="Arial"/>
      <family val="2"/>
    </font>
    <font>
      <sz val="10"/>
      <color indexed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rgb="FF3370A2"/>
      <name val="Calibri"/>
      <family val="2"/>
      <scheme val="minor"/>
    </font>
    <font>
      <sz val="22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992FB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4" fillId="0" borderId="0"/>
    <xf numFmtId="0" fontId="3" fillId="0" borderId="0"/>
    <xf numFmtId="0" fontId="1" fillId="0" borderId="0"/>
    <xf numFmtId="44" fontId="4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right" indent="1"/>
    </xf>
    <xf numFmtId="165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6" fillId="2" borderId="0" xfId="0" applyFont="1" applyFill="1"/>
    <xf numFmtId="0" fontId="0" fillId="2" borderId="0" xfId="0" applyFill="1" applyAlignment="1">
      <alignment vertical="top"/>
    </xf>
    <xf numFmtId="0" fontId="5" fillId="2" borderId="0" xfId="0" applyFont="1" applyFill="1" applyAlignment="1">
      <alignment vertical="top"/>
    </xf>
    <xf numFmtId="44" fontId="0" fillId="0" borderId="0" xfId="8" applyFont="1" applyAlignment="1">
      <alignment horizontal="right"/>
    </xf>
    <xf numFmtId="0" fontId="0" fillId="3" borderId="0" xfId="0" applyFill="1"/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0" applyNumberFormat="1" applyFill="1"/>
    <xf numFmtId="0" fontId="0" fillId="3" borderId="0" xfId="0" applyFill="1" applyAlignment="1">
      <alignment horizontal="right" indent="1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left" indent="1"/>
    </xf>
    <xf numFmtId="0" fontId="10" fillId="4" borderId="0" xfId="0" applyFont="1" applyFill="1" applyAlignment="1">
      <alignment horizontal="center" vertic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166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center"/>
    </xf>
    <xf numFmtId="166" fontId="6" fillId="4" borderId="0" xfId="0" applyNumberFormat="1" applyFont="1" applyFill="1" applyAlignment="1">
      <alignment horizontal="left"/>
    </xf>
    <xf numFmtId="0" fontId="7" fillId="4" borderId="0" xfId="0" applyFont="1" applyFill="1"/>
    <xf numFmtId="0" fontId="6" fillId="4" borderId="0" xfId="0" applyFont="1" applyFill="1" applyAlignment="1">
      <alignment horizontal="right" indent="1"/>
    </xf>
    <xf numFmtId="0" fontId="0" fillId="4" borderId="0" xfId="0" applyFill="1"/>
    <xf numFmtId="165" fontId="0" fillId="4" borderId="0" xfId="0" applyNumberFormat="1" applyFill="1"/>
    <xf numFmtId="165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64" fontId="0" fillId="4" borderId="0" xfId="0" applyNumberFormat="1" applyFill="1"/>
    <xf numFmtId="0" fontId="0" fillId="4" borderId="0" xfId="0" applyFill="1" applyAlignment="1">
      <alignment horizontal="right" indent="1"/>
    </xf>
    <xf numFmtId="0" fontId="5" fillId="4" borderId="0" xfId="0" applyFont="1" applyFill="1"/>
    <xf numFmtId="0" fontId="9" fillId="4" borderId="0" xfId="0" applyFont="1" applyFill="1"/>
    <xf numFmtId="165" fontId="5" fillId="4" borderId="0" xfId="0" applyNumberFormat="1" applyFont="1" applyFill="1" applyAlignment="1">
      <alignment horizontal="right"/>
    </xf>
    <xf numFmtId="164" fontId="0" fillId="4" borderId="0" xfId="0" applyNumberFormat="1" applyFill="1" applyAlignment="1">
      <alignment horizontal="right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 wrapText="1" indent="1"/>
    </xf>
    <xf numFmtId="165" fontId="5" fillId="4" borderId="0" xfId="0" applyNumberFormat="1" applyFont="1" applyFill="1" applyAlignment="1">
      <alignment horizontal="right" wrapText="1"/>
    </xf>
    <xf numFmtId="164" fontId="5" fillId="4" borderId="0" xfId="0" applyNumberFormat="1" applyFont="1" applyFill="1" applyAlignment="1">
      <alignment horizontal="right" wrapText="1"/>
    </xf>
    <xf numFmtId="0" fontId="5" fillId="4" borderId="3" xfId="0" applyFont="1" applyFill="1" applyBorder="1" applyAlignment="1">
      <alignment horizontal="right" indent="1"/>
    </xf>
    <xf numFmtId="0" fontId="5" fillId="4" borderId="3" xfId="0" applyFont="1" applyFill="1" applyBorder="1" applyAlignment="1">
      <alignment horizontal="left"/>
    </xf>
    <xf numFmtId="165" fontId="5" fillId="4" borderId="3" xfId="0" applyNumberFormat="1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right" wrapText="1" indent="1"/>
    </xf>
    <xf numFmtId="14" fontId="0" fillId="4" borderId="0" xfId="0" applyNumberFormat="1" applyFill="1" applyAlignment="1">
      <alignment horizontal="right" indent="1"/>
    </xf>
    <xf numFmtId="2" fontId="6" fillId="4" borderId="0" xfId="0" applyNumberFormat="1" applyFont="1" applyFill="1" applyAlignment="1">
      <alignment horizontal="right" indent="1"/>
    </xf>
    <xf numFmtId="2" fontId="6" fillId="4" borderId="8" xfId="0" applyNumberFormat="1" applyFont="1" applyFill="1" applyBorder="1" applyAlignment="1">
      <alignment horizontal="right" indent="1"/>
    </xf>
    <xf numFmtId="0" fontId="7" fillId="4" borderId="2" xfId="0" applyFont="1" applyFill="1" applyBorder="1" applyAlignment="1">
      <alignment horizontal="right" vertical="top" indent="1"/>
    </xf>
    <xf numFmtId="2" fontId="7" fillId="4" borderId="2" xfId="0" applyNumberFormat="1" applyFont="1" applyFill="1" applyBorder="1" applyAlignment="1">
      <alignment horizontal="right"/>
    </xf>
    <xf numFmtId="2" fontId="7" fillId="4" borderId="2" xfId="0" applyNumberFormat="1" applyFont="1" applyFill="1" applyBorder="1" applyAlignment="1">
      <alignment horizontal="right" indent="1"/>
    </xf>
    <xf numFmtId="2" fontId="7" fillId="4" borderId="2" xfId="0" applyNumberFormat="1" applyFont="1" applyFill="1" applyBorder="1" applyAlignment="1">
      <alignment horizontal="right" vertical="center"/>
    </xf>
    <xf numFmtId="2" fontId="7" fillId="4" borderId="2" xfId="0" applyNumberFormat="1" applyFont="1" applyFill="1" applyBorder="1"/>
    <xf numFmtId="0" fontId="7" fillId="4" borderId="0" xfId="0" applyFont="1" applyFill="1" applyAlignment="1">
      <alignment horizontal="left" vertical="top"/>
    </xf>
    <xf numFmtId="2" fontId="7" fillId="4" borderId="0" xfId="0" applyNumberFormat="1" applyFont="1" applyFill="1"/>
    <xf numFmtId="2" fontId="7" fillId="4" borderId="0" xfId="0" applyNumberFormat="1" applyFont="1" applyFill="1" applyAlignment="1">
      <alignment horizontal="right"/>
    </xf>
    <xf numFmtId="2" fontId="7" fillId="4" borderId="0" xfId="0" applyNumberFormat="1" applyFont="1" applyFill="1" applyAlignment="1">
      <alignment horizontal="right" vertical="center"/>
    </xf>
    <xf numFmtId="2" fontId="7" fillId="4" borderId="0" xfId="0" applyNumberFormat="1" applyFont="1" applyFill="1" applyAlignment="1">
      <alignment horizontal="right" indent="1"/>
    </xf>
    <xf numFmtId="0" fontId="5" fillId="4" borderId="6" xfId="0" applyFont="1" applyFill="1" applyBorder="1" applyAlignment="1">
      <alignment horizontal="right" vertical="top" indent="1"/>
    </xf>
    <xf numFmtId="4" fontId="5" fillId="4" borderId="6" xfId="0" applyNumberFormat="1" applyFont="1" applyFill="1" applyBorder="1" applyAlignment="1">
      <alignment vertical="top"/>
    </xf>
    <xf numFmtId="4" fontId="5" fillId="4" borderId="6" xfId="0" applyNumberFormat="1" applyFont="1" applyFill="1" applyBorder="1" applyAlignment="1">
      <alignment horizontal="right" vertical="top" indent="1"/>
    </xf>
    <xf numFmtId="4" fontId="5" fillId="4" borderId="6" xfId="0" applyNumberFormat="1" applyFont="1" applyFill="1" applyBorder="1" applyAlignment="1">
      <alignment horizontal="right" vertical="top"/>
    </xf>
    <xf numFmtId="164" fontId="5" fillId="4" borderId="6" xfId="0" applyNumberFormat="1" applyFont="1" applyFill="1" applyBorder="1" applyAlignment="1">
      <alignment vertical="top"/>
    </xf>
    <xf numFmtId="2" fontId="6" fillId="0" borderId="1" xfId="0" applyNumberFormat="1" applyFont="1" applyBorder="1"/>
    <xf numFmtId="2" fontId="6" fillId="0" borderId="5" xfId="0" applyNumberFormat="1" applyFont="1" applyBorder="1"/>
    <xf numFmtId="2" fontId="6" fillId="0" borderId="4" xfId="0" applyNumberFormat="1" applyFont="1" applyBorder="1"/>
    <xf numFmtId="2" fontId="6" fillId="0" borderId="4" xfId="0" applyNumberFormat="1" applyFont="1" applyBorder="1" applyAlignment="1" applyProtection="1">
      <alignment horizontal="right" vertical="top"/>
      <protection locked="0"/>
    </xf>
    <xf numFmtId="44" fontId="6" fillId="0" borderId="4" xfId="8" applyFont="1" applyFill="1" applyBorder="1" applyAlignment="1">
      <alignment horizontal="right" vertical="center"/>
    </xf>
    <xf numFmtId="2" fontId="0" fillId="0" borderId="4" xfId="0" applyNumberFormat="1" applyBorder="1"/>
    <xf numFmtId="14" fontId="6" fillId="4" borderId="0" xfId="0" applyNumberFormat="1" applyFont="1" applyFill="1" applyAlignment="1">
      <alignment horizontal="left"/>
    </xf>
    <xf numFmtId="49" fontId="0" fillId="0" borderId="4" xfId="0" applyNumberFormat="1" applyBorder="1"/>
    <xf numFmtId="49" fontId="8" fillId="3" borderId="0" xfId="0" applyNumberFormat="1" applyFont="1" applyFill="1" applyAlignment="1">
      <alignment vertical="center"/>
    </xf>
    <xf numFmtId="49" fontId="6" fillId="4" borderId="0" xfId="0" applyNumberFormat="1" applyFont="1" applyFill="1"/>
    <xf numFmtId="49" fontId="0" fillId="4" borderId="0" xfId="0" applyNumberFormat="1" applyFill="1"/>
    <xf numFmtId="49" fontId="5" fillId="4" borderId="0" xfId="0" applyNumberFormat="1" applyFont="1" applyFill="1" applyAlignment="1">
      <alignment wrapText="1"/>
    </xf>
    <xf numFmtId="49" fontId="5" fillId="4" borderId="3" xfId="0" applyNumberFormat="1" applyFont="1" applyFill="1" applyBorder="1" applyAlignment="1">
      <alignment wrapText="1"/>
    </xf>
    <xf numFmtId="49" fontId="5" fillId="4" borderId="2" xfId="0" applyNumberFormat="1" applyFont="1" applyFill="1" applyBorder="1"/>
    <xf numFmtId="49" fontId="5" fillId="4" borderId="0" xfId="0" applyNumberFormat="1" applyFont="1" applyFill="1"/>
    <xf numFmtId="49" fontId="5" fillId="4" borderId="6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2" borderId="0" xfId="0" applyNumberFormat="1" applyFill="1"/>
    <xf numFmtId="167" fontId="8" fillId="3" borderId="0" xfId="0" applyNumberFormat="1" applyFont="1" applyFill="1" applyAlignment="1">
      <alignment horizontal="center" vertical="center"/>
    </xf>
    <xf numFmtId="167" fontId="6" fillId="4" borderId="0" xfId="0" applyNumberFormat="1" applyFont="1" applyFill="1"/>
    <xf numFmtId="167" fontId="0" fillId="4" borderId="0" xfId="0" applyNumberFormat="1" applyFill="1"/>
    <xf numFmtId="167" fontId="0" fillId="4" borderId="0" xfId="0" applyNumberFormat="1" applyFill="1" applyAlignment="1">
      <alignment horizontal="right" indent="1"/>
    </xf>
    <xf numFmtId="167" fontId="5" fillId="4" borderId="0" xfId="0" applyNumberFormat="1" applyFont="1" applyFill="1" applyAlignment="1">
      <alignment horizontal="left" wrapText="1" indent="1"/>
    </xf>
    <xf numFmtId="167" fontId="5" fillId="4" borderId="3" xfId="0" applyNumberFormat="1" applyFont="1" applyFill="1" applyBorder="1" applyAlignment="1">
      <alignment horizontal="right" wrapText="1"/>
    </xf>
    <xf numFmtId="167" fontId="5" fillId="4" borderId="2" xfId="0" applyNumberFormat="1" applyFont="1" applyFill="1" applyBorder="1"/>
    <xf numFmtId="167" fontId="5" fillId="4" borderId="0" xfId="0" applyNumberFormat="1" applyFont="1" applyFill="1"/>
    <xf numFmtId="167" fontId="5" fillId="4" borderId="6" xfId="0" applyNumberFormat="1" applyFont="1" applyFill="1" applyBorder="1" applyAlignment="1">
      <alignment vertical="top"/>
    </xf>
    <xf numFmtId="167" fontId="0" fillId="3" borderId="0" xfId="0" applyNumberFormat="1" applyFill="1"/>
    <xf numFmtId="167" fontId="0" fillId="2" borderId="0" xfId="0" applyNumberFormat="1" applyFill="1"/>
    <xf numFmtId="167" fontId="5" fillId="4" borderId="0" xfId="0" applyNumberFormat="1" applyFont="1" applyFill="1" applyAlignment="1">
      <alignment horizontal="right" wrapText="1" indent="1"/>
    </xf>
    <xf numFmtId="167" fontId="8" fillId="3" borderId="0" xfId="0" applyNumberFormat="1" applyFont="1" applyFill="1" applyAlignment="1">
      <alignment horizontal="right" vertical="center"/>
    </xf>
    <xf numFmtId="167" fontId="6" fillId="4" borderId="0" xfId="0" applyNumberFormat="1" applyFont="1" applyFill="1" applyAlignment="1">
      <alignment horizontal="right"/>
    </xf>
    <xf numFmtId="167" fontId="0" fillId="4" borderId="0" xfId="0" applyNumberFormat="1" applyFill="1" applyAlignment="1">
      <alignment horizontal="right"/>
    </xf>
    <xf numFmtId="2" fontId="0" fillId="0" borderId="4" xfId="0" applyNumberFormat="1" applyBorder="1" applyAlignment="1">
      <alignment horizontal="right" indent="1"/>
    </xf>
    <xf numFmtId="167" fontId="5" fillId="4" borderId="2" xfId="0" applyNumberFormat="1" applyFont="1" applyFill="1" applyBorder="1" applyAlignment="1">
      <alignment horizontal="right"/>
    </xf>
    <xf numFmtId="167" fontId="5" fillId="4" borderId="0" xfId="0" applyNumberFormat="1" applyFont="1" applyFill="1" applyAlignment="1">
      <alignment horizontal="right"/>
    </xf>
    <xf numFmtId="167" fontId="5" fillId="4" borderId="6" xfId="0" applyNumberFormat="1" applyFont="1" applyFill="1" applyBorder="1" applyAlignment="1">
      <alignment horizontal="right" vertical="top"/>
    </xf>
    <xf numFmtId="167" fontId="0" fillId="3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49" fontId="0" fillId="0" borderId="4" xfId="0" applyNumberFormat="1" applyBorder="1" applyAlignment="1">
      <alignment horizontal="left" indent="1"/>
    </xf>
    <xf numFmtId="0" fontId="8" fillId="3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wrapText="1" indent="2"/>
    </xf>
    <xf numFmtId="0" fontId="0" fillId="3" borderId="0" xfId="0" applyFill="1" applyAlignment="1">
      <alignment horizontal="left" indent="2"/>
    </xf>
    <xf numFmtId="0" fontId="0" fillId="2" borderId="0" xfId="0" applyFill="1" applyAlignment="1">
      <alignment horizontal="left" indent="2"/>
    </xf>
    <xf numFmtId="44" fontId="8" fillId="3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44" fontId="6" fillId="4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left" wrapText="1" indent="1"/>
    </xf>
    <xf numFmtId="0" fontId="11" fillId="4" borderId="0" xfId="0" applyFont="1" applyFill="1" applyAlignment="1">
      <alignment horizontal="left" wrapText="1" indent="2"/>
    </xf>
    <xf numFmtId="0" fontId="7" fillId="4" borderId="0" xfId="0" applyFont="1" applyFill="1" applyAlignment="1">
      <alignment horizontal="right" wrapText="1" indent="1"/>
    </xf>
    <xf numFmtId="0" fontId="7" fillId="4" borderId="0" xfId="0" applyFont="1" applyFill="1" applyAlignment="1">
      <alignment horizontal="left" wrapText="1" indent="1"/>
    </xf>
    <xf numFmtId="44" fontId="5" fillId="4" borderId="0" xfId="0" applyNumberFormat="1" applyFont="1" applyFill="1" applyAlignment="1">
      <alignment horizontal="right" wrapText="1" indent="1"/>
    </xf>
    <xf numFmtId="0" fontId="6" fillId="4" borderId="3" xfId="0" applyFont="1" applyFill="1" applyBorder="1" applyAlignment="1">
      <alignment horizontal="right" wrapText="1" indent="1"/>
    </xf>
    <xf numFmtId="0" fontId="6" fillId="4" borderId="3" xfId="0" applyFont="1" applyFill="1" applyBorder="1" applyAlignment="1">
      <alignment horizontal="left" wrapText="1" indent="2"/>
    </xf>
    <xf numFmtId="44" fontId="6" fillId="4" borderId="3" xfId="0" applyNumberFormat="1" applyFont="1" applyFill="1" applyBorder="1" applyAlignment="1">
      <alignment horizontal="right" wrapText="1" indent="1"/>
    </xf>
    <xf numFmtId="44" fontId="0" fillId="4" borderId="0" xfId="0" applyNumberFormat="1" applyFill="1" applyAlignment="1">
      <alignment horizontal="right"/>
    </xf>
    <xf numFmtId="44" fontId="9" fillId="4" borderId="0" xfId="0" applyNumberFormat="1" applyFont="1" applyFill="1"/>
    <xf numFmtId="44" fontId="9" fillId="4" borderId="9" xfId="0" applyNumberFormat="1" applyFont="1" applyFill="1" applyBorder="1"/>
    <xf numFmtId="0" fontId="6" fillId="4" borderId="9" xfId="0" applyFont="1" applyFill="1" applyBorder="1" applyAlignment="1">
      <alignment horizontal="left" indent="1"/>
    </xf>
    <xf numFmtId="44" fontId="6" fillId="4" borderId="9" xfId="0" applyNumberFormat="1" applyFont="1" applyFill="1" applyBorder="1" applyAlignment="1">
      <alignment horizontal="right" indent="1"/>
    </xf>
    <xf numFmtId="44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 indent="1"/>
    </xf>
    <xf numFmtId="0" fontId="6" fillId="4" borderId="0" xfId="0" applyFont="1" applyFill="1" applyAlignment="1">
      <alignment horizontal="left" indent="2"/>
    </xf>
    <xf numFmtId="44" fontId="6" fillId="4" borderId="0" xfId="0" applyNumberFormat="1" applyFont="1" applyFill="1" applyAlignment="1">
      <alignment horizontal="right" indent="1"/>
    </xf>
    <xf numFmtId="44" fontId="7" fillId="4" borderId="6" xfId="0" applyNumberFormat="1" applyFont="1" applyFill="1" applyBorder="1" applyAlignment="1">
      <alignment horizontal="right" vertical="top"/>
    </xf>
    <xf numFmtId="44" fontId="5" fillId="4" borderId="6" xfId="0" applyNumberFormat="1" applyFont="1" applyFill="1" applyBorder="1" applyAlignment="1">
      <alignment horizontal="right" vertical="top"/>
    </xf>
    <xf numFmtId="0" fontId="7" fillId="4" borderId="6" xfId="0" applyFont="1" applyFill="1" applyBorder="1" applyAlignment="1">
      <alignment horizontal="left" vertical="top" indent="1"/>
    </xf>
    <xf numFmtId="44" fontId="0" fillId="3" borderId="0" xfId="0" applyNumberFormat="1" applyFill="1" applyAlignment="1">
      <alignment horizontal="right" indent="1"/>
    </xf>
    <xf numFmtId="44" fontId="0" fillId="2" borderId="0" xfId="0" applyNumberFormat="1" applyFill="1" applyAlignment="1">
      <alignment horizontal="right" indent="1"/>
    </xf>
    <xf numFmtId="44" fontId="0" fillId="2" borderId="0" xfId="0" applyNumberFormat="1" applyFill="1" applyAlignment="1">
      <alignment horizontal="right"/>
    </xf>
    <xf numFmtId="0" fontId="7" fillId="4" borderId="0" xfId="0" applyFont="1" applyFill="1" applyAlignment="1">
      <alignment horizontal="left"/>
    </xf>
    <xf numFmtId="0" fontId="5" fillId="4" borderId="0" xfId="0" applyFont="1" applyFill="1" applyAlignment="1">
      <alignment vertical="top"/>
    </xf>
    <xf numFmtId="14" fontId="6" fillId="4" borderId="0" xfId="0" applyNumberFormat="1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9" fillId="4" borderId="0" xfId="0" applyFont="1" applyFill="1" applyAlignment="1">
      <alignment horizontal="right" wrapText="1" indent="1"/>
    </xf>
  </cellXfs>
  <cellStyles count="9">
    <cellStyle name="Comma 2" xfId="1" xr:uid="{00000000-0005-0000-0000-000000000000}"/>
    <cellStyle name="Currency" xfId="8" builtinId="4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 5" xfId="6" xr:uid="{00000000-0005-0000-0000-000006000000}"/>
    <cellStyle name="Normal 5 2" xfId="7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9FA"/>
      <color rgb="FF1992FB"/>
      <color rgb="FF3370A2"/>
      <color rgb="FFF5F3E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249"/>
  <sheetViews>
    <sheetView showGridLines="0" tabSelected="1" zoomScaleSheetLayoutView="40" workbookViewId="0">
      <pane xSplit="1" ySplit="6" topLeftCell="B228" activePane="bottomRight" state="frozenSplit"/>
      <selection activeCell="B1" sqref="B1"/>
      <selection pane="topRight"/>
      <selection pane="bottomLeft"/>
      <selection pane="bottomRight" activeCell="I236" sqref="I236"/>
    </sheetView>
  </sheetViews>
  <sheetFormatPr defaultColWidth="9.140625" defaultRowHeight="15" x14ac:dyDescent="0.25"/>
  <cols>
    <col min="1" max="1" width="17.5703125" style="1" customWidth="1"/>
    <col min="2" max="11" width="8.7109375" style="1" customWidth="1"/>
    <col min="12" max="12" width="10.140625" style="1" customWidth="1"/>
    <col min="13" max="13" width="11.140625" style="2" customWidth="1"/>
    <col min="14" max="14" width="10.5703125" style="5" customWidth="1"/>
    <col min="15" max="15" width="10.140625" style="6" customWidth="1"/>
    <col min="16" max="16" width="8.7109375" style="3" customWidth="1"/>
    <col min="17" max="17" width="10.140625" style="1" customWidth="1"/>
    <col min="18" max="19" width="11.5703125" style="96" customWidth="1"/>
    <col min="20" max="20" width="11.5703125" style="106" customWidth="1"/>
    <col min="21" max="21" width="11.5703125" style="85" customWidth="1"/>
    <col min="22" max="22" width="14.140625" style="85" customWidth="1"/>
    <col min="23" max="26" width="10.85546875" style="1" customWidth="1"/>
    <col min="27" max="27" width="11.5703125" style="4" customWidth="1"/>
    <col min="28" max="28" width="11.140625" style="4" customWidth="1"/>
    <col min="29" max="29" width="11.42578125" style="4" customWidth="1"/>
    <col min="30" max="30" width="16.42578125" style="111" customWidth="1"/>
    <col min="31" max="31" width="14.42578125" style="11" customWidth="1"/>
    <col min="32" max="32" width="9.140625" style="1" customWidth="1"/>
    <col min="33" max="16384" width="9.140625" style="1"/>
  </cols>
  <sheetData>
    <row r="1" spans="1:31" customFormat="1" ht="39.75" customHeight="1" x14ac:dyDescent="0.25">
      <c r="A1" s="13" t="s">
        <v>0</v>
      </c>
      <c r="B1" s="13"/>
      <c r="C1" s="13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86"/>
      <c r="S1" s="86"/>
      <c r="T1" s="98"/>
      <c r="U1" s="76"/>
      <c r="V1" s="76"/>
      <c r="W1" s="14"/>
      <c r="X1" s="14"/>
      <c r="Y1" s="14"/>
      <c r="Z1" s="14"/>
      <c r="AA1" s="14"/>
      <c r="AB1" s="14"/>
      <c r="AC1" s="14"/>
      <c r="AD1" s="108"/>
      <c r="AE1" s="112"/>
    </row>
    <row r="2" spans="1:31" s="8" customFormat="1" ht="16.5" customHeight="1" x14ac:dyDescent="0.25">
      <c r="A2" s="21" t="s">
        <v>1</v>
      </c>
      <c r="B2" s="139" t="s">
        <v>2</v>
      </c>
      <c r="C2" s="139"/>
      <c r="D2" s="139"/>
      <c r="E2" s="139"/>
      <c r="F2" s="139"/>
      <c r="G2" s="22"/>
      <c r="H2" s="23"/>
      <c r="I2" s="22"/>
      <c r="J2" s="23"/>
      <c r="K2" s="23"/>
      <c r="L2" s="23"/>
      <c r="M2" s="23"/>
      <c r="N2" s="24" t="s">
        <v>3</v>
      </c>
      <c r="O2" s="25">
        <v>46125</v>
      </c>
      <c r="P2" s="26" t="s">
        <v>4</v>
      </c>
      <c r="Q2" s="27">
        <v>46131</v>
      </c>
      <c r="R2" s="87"/>
      <c r="S2" s="87"/>
      <c r="T2" s="99"/>
      <c r="U2" s="77"/>
      <c r="V2" s="77"/>
      <c r="W2" s="22"/>
      <c r="X2" s="22"/>
      <c r="Y2" s="22"/>
      <c r="Z2" s="22"/>
      <c r="AA2" s="22"/>
      <c r="AB2" s="113"/>
      <c r="AC2" s="113"/>
      <c r="AD2" s="114"/>
      <c r="AE2" s="115"/>
    </row>
    <row r="3" spans="1:31" s="8" customFormat="1" ht="15" customHeight="1" x14ac:dyDescent="0.25">
      <c r="A3" s="28"/>
      <c r="B3" s="140" t="s">
        <v>5</v>
      </c>
      <c r="C3" s="140"/>
      <c r="D3" s="140"/>
      <c r="E3" s="140"/>
      <c r="F3" s="140"/>
      <c r="G3" s="23"/>
      <c r="H3" s="23"/>
      <c r="I3" s="23"/>
      <c r="J3" s="23"/>
      <c r="K3" s="23"/>
      <c r="L3" s="23"/>
      <c r="M3" s="23"/>
      <c r="N3" s="24" t="s">
        <v>6</v>
      </c>
      <c r="O3" s="141">
        <v>46136.851210520799</v>
      </c>
      <c r="P3" s="141"/>
      <c r="Q3" s="141"/>
      <c r="R3" s="87"/>
      <c r="S3" s="87"/>
      <c r="T3" s="99"/>
      <c r="U3" s="77"/>
      <c r="V3" s="77"/>
      <c r="W3" s="23"/>
      <c r="X3" s="23"/>
      <c r="Y3" s="23"/>
      <c r="Z3" s="23"/>
      <c r="AA3" s="29"/>
      <c r="AB3" s="116"/>
      <c r="AC3" s="116"/>
      <c r="AD3" s="117"/>
      <c r="AE3" s="115"/>
    </row>
    <row r="4" spans="1:31" customFormat="1" ht="18.75" customHeight="1" x14ac:dyDescent="0.25">
      <c r="A4" s="30"/>
      <c r="B4" s="142" t="s">
        <v>7</v>
      </c>
      <c r="C4" s="142"/>
      <c r="D4" s="142"/>
      <c r="E4" s="142"/>
      <c r="F4" s="142"/>
      <c r="G4" s="142"/>
      <c r="H4" s="142"/>
      <c r="I4" s="142"/>
      <c r="J4" s="142"/>
      <c r="K4" s="142"/>
      <c r="L4" s="30"/>
      <c r="M4" s="31"/>
      <c r="N4" s="32"/>
      <c r="O4" s="33"/>
      <c r="P4" s="30"/>
      <c r="Q4" s="74"/>
      <c r="R4" s="88"/>
      <c r="S4" s="88"/>
      <c r="T4" s="100"/>
      <c r="U4" s="78"/>
      <c r="V4" s="78"/>
      <c r="W4" s="30"/>
      <c r="X4" s="30"/>
      <c r="Y4" s="30"/>
      <c r="Z4" s="30"/>
      <c r="AA4" s="35"/>
      <c r="AB4" s="143" t="s">
        <v>8</v>
      </c>
      <c r="AC4" s="143"/>
      <c r="AD4" s="109"/>
      <c r="AE4" s="115"/>
    </row>
    <row r="5" spans="1:31" customFormat="1" ht="19.5" customHeight="1" x14ac:dyDescent="0.25">
      <c r="A5" s="36"/>
      <c r="B5" s="68">
        <v>1</v>
      </c>
      <c r="C5" s="68"/>
      <c r="D5" s="68"/>
      <c r="E5" s="68"/>
      <c r="F5" s="68"/>
      <c r="G5" s="68"/>
      <c r="H5" s="68"/>
      <c r="I5" s="68"/>
      <c r="J5" s="68"/>
      <c r="K5" s="68"/>
      <c r="L5" s="37"/>
      <c r="M5" s="30"/>
      <c r="N5" s="38"/>
      <c r="O5" s="35"/>
      <c r="P5" s="30"/>
      <c r="Q5" s="34"/>
      <c r="R5" s="89"/>
      <c r="S5" s="89"/>
      <c r="T5" s="89"/>
      <c r="U5" s="78"/>
      <c r="V5" s="78"/>
      <c r="W5" s="34"/>
      <c r="X5" s="39"/>
      <c r="Y5" s="39"/>
      <c r="Z5" s="39"/>
      <c r="AA5" s="39"/>
      <c r="AB5" s="143"/>
      <c r="AC5" s="143"/>
      <c r="AD5" s="109"/>
      <c r="AE5" s="115"/>
    </row>
    <row r="6" spans="1:31" customFormat="1" ht="47.25" customHeight="1" x14ac:dyDescent="0.25">
      <c r="A6" s="20"/>
      <c r="B6" s="40" t="str">
        <f t="shared" ref="B6:K6" si="0">"Pieces
@ "&amp;FIXED(B5,2)</f>
        <v>Pieces
@ 1.00</v>
      </c>
      <c r="C6" s="41" t="str">
        <f t="shared" si="0"/>
        <v>Pieces
@ 0.00</v>
      </c>
      <c r="D6" s="41" t="str">
        <f t="shared" si="0"/>
        <v>Pieces
@ 0.00</v>
      </c>
      <c r="E6" s="41" t="str">
        <f t="shared" si="0"/>
        <v>Pieces
@ 0.00</v>
      </c>
      <c r="F6" s="41" t="str">
        <f t="shared" si="0"/>
        <v>Pieces
@ 0.00</v>
      </c>
      <c r="G6" s="41" t="str">
        <f t="shared" si="0"/>
        <v>Pieces
@ 0.00</v>
      </c>
      <c r="H6" s="41" t="str">
        <f t="shared" si="0"/>
        <v>Pieces
@ 0.00</v>
      </c>
      <c r="I6" s="41" t="str">
        <f t="shared" si="0"/>
        <v>Pieces
@ 0.00</v>
      </c>
      <c r="J6" s="41" t="str">
        <f t="shared" si="0"/>
        <v>Pieces
@ 0.00</v>
      </c>
      <c r="K6" s="41" t="str">
        <f t="shared" si="0"/>
        <v>Pieces
@ 0.00</v>
      </c>
      <c r="L6" s="42" t="s">
        <v>9</v>
      </c>
      <c r="M6" s="43" t="s">
        <v>10</v>
      </c>
      <c r="N6" s="43" t="s">
        <v>11</v>
      </c>
      <c r="O6" s="42" t="s">
        <v>12</v>
      </c>
      <c r="P6" s="44" t="s">
        <v>13</v>
      </c>
      <c r="Q6" s="41" t="s">
        <v>14</v>
      </c>
      <c r="R6" s="90" t="s">
        <v>15</v>
      </c>
      <c r="S6" s="90" t="s">
        <v>16</v>
      </c>
      <c r="T6" s="97" t="s">
        <v>17</v>
      </c>
      <c r="U6" s="79" t="s">
        <v>18</v>
      </c>
      <c r="V6" s="79" t="s">
        <v>19</v>
      </c>
      <c r="W6" s="41" t="s">
        <v>20</v>
      </c>
      <c r="X6" s="41" t="s">
        <v>21</v>
      </c>
      <c r="Y6" s="41" t="s">
        <v>22</v>
      </c>
      <c r="Z6" s="41" t="s">
        <v>23</v>
      </c>
      <c r="AA6" s="41" t="s">
        <v>24</v>
      </c>
      <c r="AB6" s="118" t="s">
        <v>25</v>
      </c>
      <c r="AC6" s="118" t="s">
        <v>26</v>
      </c>
      <c r="AD6" s="119" t="s">
        <v>27</v>
      </c>
      <c r="AE6" s="120" t="s">
        <v>28</v>
      </c>
    </row>
    <row r="7" spans="1:31" customFormat="1" ht="33" customHeight="1" thickBot="1" x14ac:dyDescent="0.3">
      <c r="A7" s="45" t="s">
        <v>29</v>
      </c>
      <c r="B7" s="46" t="s">
        <v>30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8"/>
      <c r="P7" s="46"/>
      <c r="Q7" s="46"/>
      <c r="R7" s="91"/>
      <c r="S7" s="91"/>
      <c r="T7" s="91"/>
      <c r="U7" s="80"/>
      <c r="V7" s="80"/>
      <c r="W7" s="48"/>
      <c r="X7" s="48"/>
      <c r="Y7" s="48"/>
      <c r="Z7" s="48"/>
      <c r="AA7" s="49"/>
      <c r="AB7" s="121"/>
      <c r="AC7" s="121"/>
      <c r="AD7" s="122"/>
      <c r="AE7" s="123"/>
    </row>
    <row r="8" spans="1:31" x14ac:dyDescent="0.25">
      <c r="A8" s="50">
        <v>46125</v>
      </c>
      <c r="B8" s="69"/>
      <c r="C8" s="70"/>
      <c r="D8" s="70"/>
      <c r="E8" s="70"/>
      <c r="F8" s="70"/>
      <c r="G8" s="70"/>
      <c r="H8" s="70"/>
      <c r="I8" s="70"/>
      <c r="J8" s="70"/>
      <c r="K8" s="70"/>
      <c r="L8" s="51">
        <f t="shared" ref="L8:L14" si="1">SUM(B8:K8)</f>
        <v>0</v>
      </c>
      <c r="M8" s="71"/>
      <c r="N8" s="71">
        <v>11.5</v>
      </c>
      <c r="O8" s="52">
        <f t="shared" ref="O8:O14" si="2">M8+N8</f>
        <v>11.5</v>
      </c>
      <c r="P8" s="72">
        <v>21.62</v>
      </c>
      <c r="Q8" s="73">
        <v>11.5</v>
      </c>
      <c r="R8" s="107"/>
      <c r="S8" s="107"/>
      <c r="T8" s="101"/>
      <c r="U8" s="75"/>
      <c r="V8" s="75"/>
      <c r="W8" s="124">
        <f>SUMPRODUCT(B8:K8,$B$5:K$5)</f>
        <v>0</v>
      </c>
      <c r="X8" s="124">
        <f t="shared" ref="X8:X14" si="3">N8*P8</f>
        <v>248.63000000000002</v>
      </c>
      <c r="Y8" s="124">
        <v>21.62</v>
      </c>
      <c r="Z8" s="124">
        <v>21.62</v>
      </c>
      <c r="AA8" s="124">
        <f t="shared" ref="AA8:AA14" si="4">(M8*Y8)+(N8*Z8)</f>
        <v>248.63000000000002</v>
      </c>
      <c r="AB8" s="125">
        <f t="shared" ref="AB8:AB15" si="5">MAX(AA8-X8-W8,0)</f>
        <v>0</v>
      </c>
      <c r="AC8" s="126">
        <f t="shared" ref="AC8:AC15" si="6">W8+X8+AB8</f>
        <v>248.63000000000002</v>
      </c>
      <c r="AD8" s="127" t="s">
        <v>5</v>
      </c>
      <c r="AE8" s="128"/>
    </row>
    <row r="9" spans="1:31" x14ac:dyDescent="0.25">
      <c r="A9" s="50">
        <v>46126</v>
      </c>
      <c r="B9" s="69"/>
      <c r="C9" s="70"/>
      <c r="D9" s="70"/>
      <c r="E9" s="70"/>
      <c r="F9" s="70"/>
      <c r="G9" s="70"/>
      <c r="H9" s="70"/>
      <c r="I9" s="70"/>
      <c r="J9" s="70"/>
      <c r="K9" s="70"/>
      <c r="L9" s="51">
        <f t="shared" si="1"/>
        <v>0</v>
      </c>
      <c r="M9" s="71"/>
      <c r="N9" s="71">
        <v>11.5</v>
      </c>
      <c r="O9" s="52">
        <f t="shared" si="2"/>
        <v>11.5</v>
      </c>
      <c r="P9" s="72">
        <v>21.62</v>
      </c>
      <c r="Q9" s="73">
        <v>11.5</v>
      </c>
      <c r="R9" s="107"/>
      <c r="S9" s="107"/>
      <c r="T9" s="101"/>
      <c r="U9" s="75"/>
      <c r="V9" s="75"/>
      <c r="W9" s="124">
        <f>SUMPRODUCT(B9:K9,$B$5:K$5)</f>
        <v>0</v>
      </c>
      <c r="X9" s="124">
        <f t="shared" si="3"/>
        <v>248.63000000000002</v>
      </c>
      <c r="Y9" s="124">
        <v>21.62</v>
      </c>
      <c r="Z9" s="124">
        <v>21.62</v>
      </c>
      <c r="AA9" s="124">
        <f t="shared" si="4"/>
        <v>248.63000000000002</v>
      </c>
      <c r="AB9" s="125">
        <f t="shared" si="5"/>
        <v>0</v>
      </c>
      <c r="AC9" s="126">
        <f t="shared" si="6"/>
        <v>248.63000000000002</v>
      </c>
      <c r="AD9" s="127" t="s">
        <v>5</v>
      </c>
      <c r="AE9" s="128"/>
    </row>
    <row r="10" spans="1:31" x14ac:dyDescent="0.25">
      <c r="A10" s="50">
        <v>46127</v>
      </c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51">
        <f t="shared" si="1"/>
        <v>0</v>
      </c>
      <c r="M10" s="71"/>
      <c r="N10" s="71">
        <v>11</v>
      </c>
      <c r="O10" s="52">
        <f t="shared" si="2"/>
        <v>11</v>
      </c>
      <c r="P10" s="72">
        <v>21.62</v>
      </c>
      <c r="Q10" s="73">
        <v>11</v>
      </c>
      <c r="R10" s="107"/>
      <c r="S10" s="107"/>
      <c r="T10" s="101"/>
      <c r="U10" s="75"/>
      <c r="V10" s="75"/>
      <c r="W10" s="124">
        <f>SUMPRODUCT(B10:K10,$B$5:K$5)</f>
        <v>0</v>
      </c>
      <c r="X10" s="124">
        <f t="shared" si="3"/>
        <v>237.82000000000002</v>
      </c>
      <c r="Y10" s="124">
        <v>21.62</v>
      </c>
      <c r="Z10" s="124">
        <v>21.62</v>
      </c>
      <c r="AA10" s="124">
        <f t="shared" si="4"/>
        <v>237.82000000000002</v>
      </c>
      <c r="AB10" s="125">
        <f t="shared" si="5"/>
        <v>0</v>
      </c>
      <c r="AC10" s="126">
        <f t="shared" si="6"/>
        <v>237.82000000000002</v>
      </c>
      <c r="AD10" s="127" t="s">
        <v>5</v>
      </c>
      <c r="AE10" s="128"/>
    </row>
    <row r="11" spans="1:31" x14ac:dyDescent="0.25">
      <c r="A11" s="50">
        <v>46128</v>
      </c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51">
        <f>SUM(B11:K11)</f>
        <v>0</v>
      </c>
      <c r="M11" s="71"/>
      <c r="N11" s="71">
        <v>11.5</v>
      </c>
      <c r="O11" s="52">
        <f t="shared" si="2"/>
        <v>11.5</v>
      </c>
      <c r="P11" s="72">
        <v>21.62</v>
      </c>
      <c r="Q11" s="73">
        <v>11.5</v>
      </c>
      <c r="R11" s="107"/>
      <c r="S11" s="107"/>
      <c r="T11" s="101"/>
      <c r="U11" s="75"/>
      <c r="V11" s="75"/>
      <c r="W11" s="124">
        <f>SUMPRODUCT(B11:K11,$B$5:K$5)</f>
        <v>0</v>
      </c>
      <c r="X11" s="124">
        <f t="shared" si="3"/>
        <v>248.63000000000002</v>
      </c>
      <c r="Y11" s="124">
        <v>21.62</v>
      </c>
      <c r="Z11" s="124">
        <v>21.62</v>
      </c>
      <c r="AA11" s="124">
        <f t="shared" si="4"/>
        <v>248.63000000000002</v>
      </c>
      <c r="AB11" s="125">
        <f t="shared" si="5"/>
        <v>0</v>
      </c>
      <c r="AC11" s="126">
        <f t="shared" si="6"/>
        <v>248.63000000000002</v>
      </c>
      <c r="AD11" s="127" t="s">
        <v>5</v>
      </c>
      <c r="AE11" s="128"/>
    </row>
    <row r="12" spans="1:31" x14ac:dyDescent="0.25">
      <c r="A12" s="50">
        <v>46129</v>
      </c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51">
        <f t="shared" si="1"/>
        <v>0</v>
      </c>
      <c r="M12" s="71"/>
      <c r="N12" s="71">
        <v>14.5</v>
      </c>
      <c r="O12" s="52">
        <f t="shared" si="2"/>
        <v>14.5</v>
      </c>
      <c r="P12" s="72">
        <v>21.62</v>
      </c>
      <c r="Q12" s="73">
        <v>14.5</v>
      </c>
      <c r="R12" s="107"/>
      <c r="S12" s="107"/>
      <c r="T12" s="101"/>
      <c r="U12" s="75"/>
      <c r="V12" s="75"/>
      <c r="W12" s="124">
        <f>SUMPRODUCT(B12:K12,$B$5:K$5)</f>
        <v>0</v>
      </c>
      <c r="X12" s="124">
        <f t="shared" si="3"/>
        <v>313.49</v>
      </c>
      <c r="Y12" s="124">
        <v>21.62</v>
      </c>
      <c r="Z12" s="124">
        <v>21.62</v>
      </c>
      <c r="AA12" s="124">
        <f t="shared" si="4"/>
        <v>313.49</v>
      </c>
      <c r="AB12" s="125">
        <f t="shared" si="5"/>
        <v>0</v>
      </c>
      <c r="AC12" s="126">
        <f t="shared" si="6"/>
        <v>313.49</v>
      </c>
      <c r="AD12" s="127" t="s">
        <v>5</v>
      </c>
      <c r="AE12" s="128"/>
    </row>
    <row r="13" spans="1:31" ht="15.75" thickBot="1" x14ac:dyDescent="0.3">
      <c r="A13" s="50">
        <v>46130</v>
      </c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51">
        <f t="shared" si="1"/>
        <v>0</v>
      </c>
      <c r="M13" s="71"/>
      <c r="N13" s="71">
        <v>9</v>
      </c>
      <c r="O13" s="52">
        <f t="shared" si="2"/>
        <v>9</v>
      </c>
      <c r="P13" s="72">
        <v>21.62</v>
      </c>
      <c r="Q13" s="73">
        <v>9</v>
      </c>
      <c r="R13" s="107"/>
      <c r="S13" s="107"/>
      <c r="T13" s="101"/>
      <c r="U13" s="75"/>
      <c r="V13" s="75"/>
      <c r="W13" s="124">
        <f>SUMPRODUCT(B13:K13,$B$5:K$5)</f>
        <v>0</v>
      </c>
      <c r="X13" s="124">
        <f t="shared" si="3"/>
        <v>194.58</v>
      </c>
      <c r="Y13" s="124">
        <v>21.62</v>
      </c>
      <c r="Z13" s="124">
        <v>21.62</v>
      </c>
      <c r="AA13" s="124">
        <f t="shared" si="4"/>
        <v>194.58</v>
      </c>
      <c r="AB13" s="125">
        <f t="shared" si="5"/>
        <v>0</v>
      </c>
      <c r="AC13" s="126">
        <f t="shared" si="6"/>
        <v>194.58</v>
      </c>
      <c r="AD13" s="127" t="s">
        <v>5</v>
      </c>
      <c r="AE13" s="128"/>
    </row>
    <row r="14" spans="1:31" ht="15.75" thickTop="1" x14ac:dyDescent="0.25">
      <c r="A14" s="50">
        <v>46131</v>
      </c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51">
        <f t="shared" si="1"/>
        <v>0</v>
      </c>
      <c r="M14" s="71"/>
      <c r="N14" s="71">
        <v>11</v>
      </c>
      <c r="O14" s="52">
        <f t="shared" si="2"/>
        <v>11</v>
      </c>
      <c r="P14" s="72">
        <v>21.62</v>
      </c>
      <c r="Q14" s="73">
        <v>11</v>
      </c>
      <c r="R14" s="107"/>
      <c r="S14" s="107"/>
      <c r="T14" s="101"/>
      <c r="U14" s="75"/>
      <c r="V14" s="75"/>
      <c r="W14" s="124">
        <f>SUMPRODUCT(B14:K14,$B$5:K$5)</f>
        <v>0</v>
      </c>
      <c r="X14" s="124">
        <f t="shared" si="3"/>
        <v>237.82000000000002</v>
      </c>
      <c r="Y14" s="124">
        <v>21.62</v>
      </c>
      <c r="Z14" s="124">
        <v>21.62</v>
      </c>
      <c r="AA14" s="124">
        <f t="shared" si="4"/>
        <v>237.82000000000002</v>
      </c>
      <c r="AB14" s="125">
        <f t="shared" si="5"/>
        <v>0</v>
      </c>
      <c r="AC14" s="126">
        <f t="shared" si="6"/>
        <v>237.82000000000002</v>
      </c>
      <c r="AD14" s="127" t="s">
        <v>5</v>
      </c>
      <c r="AE14" s="128"/>
    </row>
    <row r="15" spans="1:31" x14ac:dyDescent="0.25">
      <c r="A15" s="53" t="s">
        <v>31</v>
      </c>
      <c r="B15" s="54">
        <f t="shared" ref="B15:O15" si="7">SUBTOTAL(9,B8:B14)</f>
        <v>0</v>
      </c>
      <c r="C15" s="54">
        <f t="shared" si="7"/>
        <v>0</v>
      </c>
      <c r="D15" s="54">
        <f t="shared" si="7"/>
        <v>0</v>
      </c>
      <c r="E15" s="54">
        <f t="shared" si="7"/>
        <v>0</v>
      </c>
      <c r="F15" s="54">
        <f t="shared" si="7"/>
        <v>0</v>
      </c>
      <c r="G15" s="54">
        <f t="shared" si="7"/>
        <v>0</v>
      </c>
      <c r="H15" s="54">
        <f t="shared" si="7"/>
        <v>0</v>
      </c>
      <c r="I15" s="54">
        <f t="shared" si="7"/>
        <v>0</v>
      </c>
      <c r="J15" s="54">
        <f t="shared" si="7"/>
        <v>0</v>
      </c>
      <c r="K15" s="54">
        <f t="shared" si="7"/>
        <v>0</v>
      </c>
      <c r="L15" s="55">
        <f t="shared" si="7"/>
        <v>0</v>
      </c>
      <c r="M15" s="54">
        <f t="shared" si="7"/>
        <v>0</v>
      </c>
      <c r="N15" s="54">
        <f t="shared" si="7"/>
        <v>80</v>
      </c>
      <c r="O15" s="55">
        <f t="shared" si="7"/>
        <v>80</v>
      </c>
      <c r="P15" s="56"/>
      <c r="Q15" s="57">
        <f>SUBTOTAL(9,Q8:Q14)</f>
        <v>80</v>
      </c>
      <c r="R15" s="92"/>
      <c r="S15" s="92"/>
      <c r="T15" s="102"/>
      <c r="U15" s="81"/>
      <c r="V15" s="81"/>
      <c r="W15" s="129">
        <f>SUBTOTAL(9,W8:W14)</f>
        <v>0</v>
      </c>
      <c r="X15" s="129">
        <f>SUBTOTAL(9,X8:X14)</f>
        <v>1729.6</v>
      </c>
      <c r="Y15" s="129"/>
      <c r="Z15" s="129"/>
      <c r="AA15" s="129">
        <f>SUBTOTAL(9,AA8:AA14)</f>
        <v>1729.6</v>
      </c>
      <c r="AB15" s="129">
        <f t="shared" si="5"/>
        <v>0</v>
      </c>
      <c r="AC15" s="129">
        <f t="shared" si="6"/>
        <v>1729.6</v>
      </c>
      <c r="AD15" s="130"/>
      <c r="AE15" s="129">
        <f>SUBTOTAL(9,AE8:AE14)</f>
        <v>0</v>
      </c>
    </row>
    <row r="16" spans="1:31" customFormat="1" ht="33" customHeight="1" x14ac:dyDescent="0.25">
      <c r="A16" s="45" t="s">
        <v>32</v>
      </c>
      <c r="B16" s="46" t="s">
        <v>33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48"/>
      <c r="P16" s="46"/>
      <c r="Q16" s="46"/>
      <c r="R16" s="91"/>
      <c r="S16" s="91"/>
      <c r="T16" s="91"/>
      <c r="U16" s="80"/>
      <c r="V16" s="80"/>
      <c r="W16" s="48"/>
      <c r="X16" s="48"/>
      <c r="Y16" s="48"/>
      <c r="Z16" s="48"/>
      <c r="AA16" s="49"/>
      <c r="AB16" s="121"/>
      <c r="AC16" s="121"/>
      <c r="AD16" s="122"/>
      <c r="AE16" s="123"/>
    </row>
    <row r="17" spans="1:31" x14ac:dyDescent="0.25">
      <c r="A17" s="50">
        <v>46125</v>
      </c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51">
        <f t="shared" ref="L17:L23" si="8">SUM(B17:K17)</f>
        <v>0</v>
      </c>
      <c r="M17" s="71"/>
      <c r="N17" s="71">
        <v>14.5</v>
      </c>
      <c r="O17" s="52">
        <f t="shared" ref="O17:O23" si="9">M17+N17</f>
        <v>14.5</v>
      </c>
      <c r="P17" s="72">
        <v>16.23</v>
      </c>
      <c r="Q17" s="73">
        <v>14.5</v>
      </c>
      <c r="R17" s="107"/>
      <c r="S17" s="107"/>
      <c r="T17" s="101"/>
      <c r="U17" s="75"/>
      <c r="V17" s="75"/>
      <c r="W17" s="124">
        <f>SUMPRODUCT(B17:K17,$B$5:K$5)</f>
        <v>0</v>
      </c>
      <c r="X17" s="124">
        <f t="shared" ref="X17:X23" si="10">N17*P17</f>
        <v>235.33500000000001</v>
      </c>
      <c r="Y17" s="124">
        <v>16.23</v>
      </c>
      <c r="Z17" s="124">
        <v>16.23</v>
      </c>
      <c r="AA17" s="124">
        <f t="shared" ref="AA17:AA23" si="11">(M17*Y17)+(N17*Z17)</f>
        <v>235.33500000000001</v>
      </c>
      <c r="AB17" s="125">
        <f t="shared" ref="AB17:AB24" si="12">MAX(AA17-X17-W17,0)</f>
        <v>0</v>
      </c>
      <c r="AC17" s="126">
        <f t="shared" ref="AC17:AC24" si="13">W17+X17+AB17</f>
        <v>235.33500000000001</v>
      </c>
      <c r="AD17" s="127" t="s">
        <v>5</v>
      </c>
      <c r="AE17" s="128"/>
    </row>
    <row r="18" spans="1:31" x14ac:dyDescent="0.25">
      <c r="A18" s="50">
        <v>46126</v>
      </c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51">
        <f t="shared" si="8"/>
        <v>0</v>
      </c>
      <c r="M18" s="71"/>
      <c r="N18" s="71">
        <v>14</v>
      </c>
      <c r="O18" s="52">
        <f t="shared" si="9"/>
        <v>14</v>
      </c>
      <c r="P18" s="72">
        <v>16.23</v>
      </c>
      <c r="Q18" s="73">
        <v>14</v>
      </c>
      <c r="R18" s="107"/>
      <c r="S18" s="107"/>
      <c r="T18" s="101"/>
      <c r="U18" s="75"/>
      <c r="V18" s="75"/>
      <c r="W18" s="124">
        <f>SUMPRODUCT(B18:K18,$B$5:K$5)</f>
        <v>0</v>
      </c>
      <c r="X18" s="124">
        <f t="shared" si="10"/>
        <v>227.22</v>
      </c>
      <c r="Y18" s="124">
        <v>16.23</v>
      </c>
      <c r="Z18" s="124">
        <v>16.23</v>
      </c>
      <c r="AA18" s="124">
        <f t="shared" si="11"/>
        <v>227.22</v>
      </c>
      <c r="AB18" s="125">
        <f t="shared" si="12"/>
        <v>0</v>
      </c>
      <c r="AC18" s="126">
        <f t="shared" si="13"/>
        <v>227.22</v>
      </c>
      <c r="AD18" s="127" t="s">
        <v>5</v>
      </c>
      <c r="AE18" s="128"/>
    </row>
    <row r="19" spans="1:31" x14ac:dyDescent="0.25">
      <c r="A19" s="50">
        <v>46127</v>
      </c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51">
        <f t="shared" si="8"/>
        <v>0</v>
      </c>
      <c r="M19" s="71"/>
      <c r="N19" s="71">
        <v>10</v>
      </c>
      <c r="O19" s="52">
        <f t="shared" si="9"/>
        <v>10</v>
      </c>
      <c r="P19" s="72">
        <v>16.23</v>
      </c>
      <c r="Q19" s="73">
        <v>10</v>
      </c>
      <c r="R19" s="107"/>
      <c r="S19" s="107"/>
      <c r="T19" s="101"/>
      <c r="U19" s="75"/>
      <c r="V19" s="75"/>
      <c r="W19" s="124">
        <f>SUMPRODUCT(B19:K19,$B$5:K$5)</f>
        <v>0</v>
      </c>
      <c r="X19" s="124">
        <f t="shared" si="10"/>
        <v>162.30000000000001</v>
      </c>
      <c r="Y19" s="124">
        <v>16.23</v>
      </c>
      <c r="Z19" s="124">
        <v>16.23</v>
      </c>
      <c r="AA19" s="124">
        <f t="shared" si="11"/>
        <v>162.30000000000001</v>
      </c>
      <c r="AB19" s="125">
        <f t="shared" si="12"/>
        <v>0</v>
      </c>
      <c r="AC19" s="126">
        <f t="shared" si="13"/>
        <v>162.30000000000001</v>
      </c>
      <c r="AD19" s="127" t="s">
        <v>5</v>
      </c>
      <c r="AE19" s="128"/>
    </row>
    <row r="20" spans="1:31" x14ac:dyDescent="0.25">
      <c r="A20" s="50">
        <v>46128</v>
      </c>
      <c r="B20" s="69"/>
      <c r="C20" s="70"/>
      <c r="D20" s="70"/>
      <c r="E20" s="70"/>
      <c r="F20" s="70"/>
      <c r="G20" s="70"/>
      <c r="H20" s="70"/>
      <c r="I20" s="70"/>
      <c r="J20" s="70"/>
      <c r="K20" s="70"/>
      <c r="L20" s="51">
        <f t="shared" si="8"/>
        <v>0</v>
      </c>
      <c r="M20" s="71"/>
      <c r="N20" s="71">
        <v>10</v>
      </c>
      <c r="O20" s="52">
        <f t="shared" si="9"/>
        <v>10</v>
      </c>
      <c r="P20" s="72">
        <v>16.23</v>
      </c>
      <c r="Q20" s="73">
        <v>10</v>
      </c>
      <c r="R20" s="107"/>
      <c r="S20" s="107"/>
      <c r="T20" s="101"/>
      <c r="U20" s="75"/>
      <c r="V20" s="75"/>
      <c r="W20" s="124">
        <f>SUMPRODUCT(B20:K20,$B$5:K$5)</f>
        <v>0</v>
      </c>
      <c r="X20" s="124">
        <f t="shared" si="10"/>
        <v>162.30000000000001</v>
      </c>
      <c r="Y20" s="124">
        <v>16.23</v>
      </c>
      <c r="Z20" s="124">
        <v>16.23</v>
      </c>
      <c r="AA20" s="124">
        <f t="shared" si="11"/>
        <v>162.30000000000001</v>
      </c>
      <c r="AB20" s="125">
        <f t="shared" si="12"/>
        <v>0</v>
      </c>
      <c r="AC20" s="126">
        <f t="shared" si="13"/>
        <v>162.30000000000001</v>
      </c>
      <c r="AD20" s="127" t="s">
        <v>5</v>
      </c>
      <c r="AE20" s="128"/>
    </row>
    <row r="21" spans="1:31" x14ac:dyDescent="0.25">
      <c r="A21" s="50">
        <v>46129</v>
      </c>
      <c r="B21" s="69"/>
      <c r="C21" s="70"/>
      <c r="D21" s="70"/>
      <c r="E21" s="70"/>
      <c r="F21" s="70"/>
      <c r="G21" s="70"/>
      <c r="H21" s="70"/>
      <c r="I21" s="70"/>
      <c r="J21" s="70"/>
      <c r="K21" s="70"/>
      <c r="L21" s="51">
        <f t="shared" si="8"/>
        <v>0</v>
      </c>
      <c r="M21" s="71"/>
      <c r="N21" s="71">
        <v>10</v>
      </c>
      <c r="O21" s="52">
        <f t="shared" si="9"/>
        <v>10</v>
      </c>
      <c r="P21" s="72">
        <v>16.23</v>
      </c>
      <c r="Q21" s="73">
        <v>10</v>
      </c>
      <c r="R21" s="107"/>
      <c r="S21" s="107"/>
      <c r="T21" s="101"/>
      <c r="U21" s="75"/>
      <c r="V21" s="75"/>
      <c r="W21" s="124">
        <f>SUMPRODUCT(B21:K21,$B$5:K$5)</f>
        <v>0</v>
      </c>
      <c r="X21" s="124">
        <f t="shared" si="10"/>
        <v>162.30000000000001</v>
      </c>
      <c r="Y21" s="124">
        <v>16.23</v>
      </c>
      <c r="Z21" s="124">
        <v>16.23</v>
      </c>
      <c r="AA21" s="124">
        <f t="shared" si="11"/>
        <v>162.30000000000001</v>
      </c>
      <c r="AB21" s="125">
        <f t="shared" si="12"/>
        <v>0</v>
      </c>
      <c r="AC21" s="126">
        <f t="shared" si="13"/>
        <v>162.30000000000001</v>
      </c>
      <c r="AD21" s="127" t="s">
        <v>5</v>
      </c>
      <c r="AE21" s="128"/>
    </row>
    <row r="22" spans="1:31" x14ac:dyDescent="0.25">
      <c r="A22" s="50">
        <v>46130</v>
      </c>
      <c r="B22" s="69"/>
      <c r="C22" s="70"/>
      <c r="D22" s="70"/>
      <c r="E22" s="70"/>
      <c r="F22" s="70"/>
      <c r="G22" s="70"/>
      <c r="H22" s="70"/>
      <c r="I22" s="70"/>
      <c r="J22" s="70"/>
      <c r="K22" s="70"/>
      <c r="L22" s="51">
        <f t="shared" si="8"/>
        <v>0</v>
      </c>
      <c r="M22" s="71"/>
      <c r="N22" s="71">
        <v>10.5</v>
      </c>
      <c r="O22" s="52">
        <f t="shared" si="9"/>
        <v>10.5</v>
      </c>
      <c r="P22" s="72">
        <v>16.23</v>
      </c>
      <c r="Q22" s="73">
        <v>10.5</v>
      </c>
      <c r="R22" s="107"/>
      <c r="S22" s="107"/>
      <c r="T22" s="101"/>
      <c r="U22" s="75"/>
      <c r="V22" s="75"/>
      <c r="W22" s="124">
        <f>SUMPRODUCT(B22:K22,$B$5:K$5)</f>
        <v>0</v>
      </c>
      <c r="X22" s="124">
        <f t="shared" si="10"/>
        <v>170.41499999999999</v>
      </c>
      <c r="Y22" s="124">
        <v>16.23</v>
      </c>
      <c r="Z22" s="124">
        <v>16.23</v>
      </c>
      <c r="AA22" s="124">
        <f t="shared" si="11"/>
        <v>170.41499999999999</v>
      </c>
      <c r="AB22" s="125">
        <f t="shared" si="12"/>
        <v>0</v>
      </c>
      <c r="AC22" s="126">
        <f t="shared" si="13"/>
        <v>170.41499999999999</v>
      </c>
      <c r="AD22" s="127" t="s">
        <v>5</v>
      </c>
      <c r="AE22" s="128"/>
    </row>
    <row r="23" spans="1:31" x14ac:dyDescent="0.25">
      <c r="A23" s="50">
        <v>46131</v>
      </c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51">
        <f t="shared" si="8"/>
        <v>0</v>
      </c>
      <c r="M23" s="71"/>
      <c r="N23" s="71">
        <v>6.5</v>
      </c>
      <c r="O23" s="52">
        <f t="shared" si="9"/>
        <v>6.5</v>
      </c>
      <c r="P23" s="72">
        <v>16.23</v>
      </c>
      <c r="Q23" s="73">
        <v>6.5</v>
      </c>
      <c r="R23" s="107"/>
      <c r="S23" s="107"/>
      <c r="T23" s="101"/>
      <c r="U23" s="75"/>
      <c r="V23" s="75"/>
      <c r="W23" s="124">
        <f>SUMPRODUCT(B23:K23,$B$5:K$5)</f>
        <v>0</v>
      </c>
      <c r="X23" s="124">
        <f t="shared" si="10"/>
        <v>105.495</v>
      </c>
      <c r="Y23" s="124">
        <v>16.23</v>
      </c>
      <c r="Z23" s="124">
        <v>16.23</v>
      </c>
      <c r="AA23" s="124">
        <f t="shared" si="11"/>
        <v>105.495</v>
      </c>
      <c r="AB23" s="125">
        <f t="shared" si="12"/>
        <v>0</v>
      </c>
      <c r="AC23" s="126">
        <f t="shared" si="13"/>
        <v>105.495</v>
      </c>
      <c r="AD23" s="127" t="s">
        <v>5</v>
      </c>
      <c r="AE23" s="128"/>
    </row>
    <row r="24" spans="1:31" x14ac:dyDescent="0.25">
      <c r="A24" s="53" t="s">
        <v>31</v>
      </c>
      <c r="B24" s="54">
        <f t="shared" ref="B24:O24" si="14">SUBTOTAL(9,B17:B23)</f>
        <v>0</v>
      </c>
      <c r="C24" s="54">
        <f t="shared" si="14"/>
        <v>0</v>
      </c>
      <c r="D24" s="54">
        <f t="shared" si="14"/>
        <v>0</v>
      </c>
      <c r="E24" s="54">
        <f t="shared" si="14"/>
        <v>0</v>
      </c>
      <c r="F24" s="54">
        <f t="shared" si="14"/>
        <v>0</v>
      </c>
      <c r="G24" s="54">
        <f t="shared" si="14"/>
        <v>0</v>
      </c>
      <c r="H24" s="54">
        <f t="shared" si="14"/>
        <v>0</v>
      </c>
      <c r="I24" s="54">
        <f t="shared" si="14"/>
        <v>0</v>
      </c>
      <c r="J24" s="54">
        <f t="shared" si="14"/>
        <v>0</v>
      </c>
      <c r="K24" s="54">
        <f t="shared" si="14"/>
        <v>0</v>
      </c>
      <c r="L24" s="55">
        <f t="shared" si="14"/>
        <v>0</v>
      </c>
      <c r="M24" s="54">
        <f t="shared" si="14"/>
        <v>0</v>
      </c>
      <c r="N24" s="54">
        <f t="shared" si="14"/>
        <v>75.5</v>
      </c>
      <c r="O24" s="55">
        <f t="shared" si="14"/>
        <v>75.5</v>
      </c>
      <c r="P24" s="56"/>
      <c r="Q24" s="57">
        <f>SUBTOTAL(9,Q17:Q23)</f>
        <v>75.5</v>
      </c>
      <c r="R24" s="92"/>
      <c r="S24" s="92"/>
      <c r="T24" s="102"/>
      <c r="U24" s="81"/>
      <c r="V24" s="81"/>
      <c r="W24" s="129">
        <f>SUBTOTAL(9,W17:W23)</f>
        <v>0</v>
      </c>
      <c r="X24" s="129">
        <f>SUBTOTAL(9,X17:X23)</f>
        <v>1225.3649999999998</v>
      </c>
      <c r="Y24" s="129"/>
      <c r="Z24" s="129"/>
      <c r="AA24" s="129">
        <f>SUBTOTAL(9,AA17:AA23)</f>
        <v>1225.3649999999998</v>
      </c>
      <c r="AB24" s="129">
        <f t="shared" si="12"/>
        <v>0</v>
      </c>
      <c r="AC24" s="129">
        <f t="shared" si="13"/>
        <v>1225.3649999999998</v>
      </c>
      <c r="AD24" s="130"/>
      <c r="AE24" s="129">
        <f>SUBTOTAL(9,AE17:AE23)</f>
        <v>0</v>
      </c>
    </row>
    <row r="25" spans="1:31" customFormat="1" ht="33" customHeight="1" x14ac:dyDescent="0.25">
      <c r="A25" s="45" t="s">
        <v>34</v>
      </c>
      <c r="B25" s="46" t="s">
        <v>35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48"/>
      <c r="P25" s="46"/>
      <c r="Q25" s="46"/>
      <c r="R25" s="91"/>
      <c r="S25" s="91"/>
      <c r="T25" s="91"/>
      <c r="U25" s="80"/>
      <c r="V25" s="80"/>
      <c r="W25" s="48"/>
      <c r="X25" s="48"/>
      <c r="Y25" s="48"/>
      <c r="Z25" s="48"/>
      <c r="AA25" s="49"/>
      <c r="AB25" s="121"/>
      <c r="AC25" s="121"/>
      <c r="AD25" s="122"/>
      <c r="AE25" s="123"/>
    </row>
    <row r="26" spans="1:31" x14ac:dyDescent="0.25">
      <c r="A26" s="50">
        <v>46125</v>
      </c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51">
        <f t="shared" ref="L26:L32" si="15">SUM(B26:K26)</f>
        <v>0</v>
      </c>
      <c r="M26" s="71"/>
      <c r="N26" s="71"/>
      <c r="O26" s="52">
        <f t="shared" ref="O26:O32" si="16">M26+N26</f>
        <v>0</v>
      </c>
      <c r="P26" s="72">
        <v>16.23</v>
      </c>
      <c r="Q26" s="73"/>
      <c r="R26" s="107"/>
      <c r="S26" s="107"/>
      <c r="T26" s="101"/>
      <c r="U26" s="75"/>
      <c r="V26" s="75"/>
      <c r="W26" s="124">
        <f>SUMPRODUCT(B26:K26,$B$5:K$5)</f>
        <v>0</v>
      </c>
      <c r="X26" s="124">
        <f t="shared" ref="X26:X32" si="17">N26*P26</f>
        <v>0</v>
      </c>
      <c r="Y26" s="124">
        <v>16.23</v>
      </c>
      <c r="Z26" s="124">
        <v>16.23</v>
      </c>
      <c r="AA26" s="124">
        <f t="shared" ref="AA26:AA32" si="18">(M26*Y26)+(N26*Z26)</f>
        <v>0</v>
      </c>
      <c r="AB26" s="125">
        <f t="shared" ref="AB26:AB33" si="19">MAX(AA26-X26-W26,0)</f>
        <v>0</v>
      </c>
      <c r="AC26" s="126">
        <f t="shared" ref="AC26:AC33" si="20">W26+X26+AB26</f>
        <v>0</v>
      </c>
      <c r="AD26" s="127" t="s">
        <v>5</v>
      </c>
      <c r="AE26" s="128"/>
    </row>
    <row r="27" spans="1:31" x14ac:dyDescent="0.25">
      <c r="A27" s="50">
        <v>46126</v>
      </c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51">
        <f t="shared" si="15"/>
        <v>0</v>
      </c>
      <c r="M27" s="71"/>
      <c r="N27" s="71"/>
      <c r="O27" s="52">
        <f t="shared" si="16"/>
        <v>0</v>
      </c>
      <c r="P27" s="72">
        <v>16.23</v>
      </c>
      <c r="Q27" s="73"/>
      <c r="R27" s="107"/>
      <c r="S27" s="107"/>
      <c r="T27" s="101"/>
      <c r="U27" s="75"/>
      <c r="V27" s="75"/>
      <c r="W27" s="124">
        <f>SUMPRODUCT(B27:K27,$B$5:K$5)</f>
        <v>0</v>
      </c>
      <c r="X27" s="124">
        <f t="shared" si="17"/>
        <v>0</v>
      </c>
      <c r="Y27" s="124">
        <v>16.23</v>
      </c>
      <c r="Z27" s="124">
        <v>16.23</v>
      </c>
      <c r="AA27" s="124">
        <f t="shared" si="18"/>
        <v>0</v>
      </c>
      <c r="AB27" s="125">
        <f t="shared" si="19"/>
        <v>0</v>
      </c>
      <c r="AC27" s="126">
        <f t="shared" si="20"/>
        <v>0</v>
      </c>
      <c r="AD27" s="127" t="s">
        <v>5</v>
      </c>
      <c r="AE27" s="128"/>
    </row>
    <row r="28" spans="1:31" x14ac:dyDescent="0.25">
      <c r="A28" s="50">
        <v>46127</v>
      </c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51">
        <f t="shared" si="15"/>
        <v>0</v>
      </c>
      <c r="M28" s="71"/>
      <c r="N28" s="71"/>
      <c r="O28" s="52">
        <f t="shared" si="16"/>
        <v>0</v>
      </c>
      <c r="P28" s="72">
        <v>16.23</v>
      </c>
      <c r="Q28" s="73"/>
      <c r="R28" s="107"/>
      <c r="S28" s="107"/>
      <c r="T28" s="101"/>
      <c r="U28" s="75"/>
      <c r="V28" s="75"/>
      <c r="W28" s="124">
        <f>SUMPRODUCT(B28:K28,$B$5:K$5)</f>
        <v>0</v>
      </c>
      <c r="X28" s="124">
        <f t="shared" si="17"/>
        <v>0</v>
      </c>
      <c r="Y28" s="124">
        <v>16.23</v>
      </c>
      <c r="Z28" s="124">
        <v>16.23</v>
      </c>
      <c r="AA28" s="124">
        <f t="shared" si="18"/>
        <v>0</v>
      </c>
      <c r="AB28" s="125">
        <f t="shared" si="19"/>
        <v>0</v>
      </c>
      <c r="AC28" s="126">
        <f t="shared" si="20"/>
        <v>0</v>
      </c>
      <c r="AD28" s="127" t="s">
        <v>5</v>
      </c>
      <c r="AE28" s="128"/>
    </row>
    <row r="29" spans="1:31" x14ac:dyDescent="0.25">
      <c r="A29" s="50">
        <v>46128</v>
      </c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51">
        <f t="shared" si="15"/>
        <v>0</v>
      </c>
      <c r="M29" s="71"/>
      <c r="N29" s="71"/>
      <c r="O29" s="52">
        <f t="shared" si="16"/>
        <v>0</v>
      </c>
      <c r="P29" s="72">
        <v>16.23</v>
      </c>
      <c r="Q29" s="73"/>
      <c r="R29" s="107"/>
      <c r="S29" s="107"/>
      <c r="T29" s="101"/>
      <c r="U29" s="75"/>
      <c r="V29" s="75"/>
      <c r="W29" s="124">
        <f>SUMPRODUCT(B29:K29,$B$5:K$5)</f>
        <v>0</v>
      </c>
      <c r="X29" s="124">
        <f t="shared" si="17"/>
        <v>0</v>
      </c>
      <c r="Y29" s="124">
        <v>16.23</v>
      </c>
      <c r="Z29" s="124">
        <v>16.23</v>
      </c>
      <c r="AA29" s="124">
        <f t="shared" si="18"/>
        <v>0</v>
      </c>
      <c r="AB29" s="125">
        <f t="shared" si="19"/>
        <v>0</v>
      </c>
      <c r="AC29" s="126">
        <f t="shared" si="20"/>
        <v>0</v>
      </c>
      <c r="AD29" s="127" t="s">
        <v>5</v>
      </c>
      <c r="AE29" s="128"/>
    </row>
    <row r="30" spans="1:31" x14ac:dyDescent="0.25">
      <c r="A30" s="50">
        <v>46129</v>
      </c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51">
        <f t="shared" si="15"/>
        <v>0</v>
      </c>
      <c r="M30" s="71"/>
      <c r="N30" s="71"/>
      <c r="O30" s="52">
        <f t="shared" si="16"/>
        <v>0</v>
      </c>
      <c r="P30" s="72">
        <v>16.23</v>
      </c>
      <c r="Q30" s="73"/>
      <c r="R30" s="107"/>
      <c r="S30" s="107"/>
      <c r="T30" s="101"/>
      <c r="U30" s="75"/>
      <c r="V30" s="75"/>
      <c r="W30" s="124">
        <f>SUMPRODUCT(B30:K30,$B$5:K$5)</f>
        <v>0</v>
      </c>
      <c r="X30" s="124">
        <f t="shared" si="17"/>
        <v>0</v>
      </c>
      <c r="Y30" s="124">
        <v>16.23</v>
      </c>
      <c r="Z30" s="124">
        <v>16.23</v>
      </c>
      <c r="AA30" s="124">
        <f t="shared" si="18"/>
        <v>0</v>
      </c>
      <c r="AB30" s="125">
        <f t="shared" si="19"/>
        <v>0</v>
      </c>
      <c r="AC30" s="126">
        <f t="shared" si="20"/>
        <v>0</v>
      </c>
      <c r="AD30" s="127" t="s">
        <v>5</v>
      </c>
      <c r="AE30" s="128"/>
    </row>
    <row r="31" spans="1:31" x14ac:dyDescent="0.25">
      <c r="A31" s="50">
        <v>46130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51">
        <f t="shared" si="15"/>
        <v>0</v>
      </c>
      <c r="M31" s="71"/>
      <c r="N31" s="71"/>
      <c r="O31" s="52">
        <f t="shared" si="16"/>
        <v>0</v>
      </c>
      <c r="P31" s="72">
        <v>16.23</v>
      </c>
      <c r="Q31" s="73"/>
      <c r="R31" s="107"/>
      <c r="S31" s="107"/>
      <c r="T31" s="101"/>
      <c r="U31" s="75"/>
      <c r="V31" s="75"/>
      <c r="W31" s="124">
        <f>SUMPRODUCT(B31:K31,$B$5:K$5)</f>
        <v>0</v>
      </c>
      <c r="X31" s="124">
        <f t="shared" si="17"/>
        <v>0</v>
      </c>
      <c r="Y31" s="124">
        <v>16.23</v>
      </c>
      <c r="Z31" s="124">
        <v>16.23</v>
      </c>
      <c r="AA31" s="124">
        <f t="shared" si="18"/>
        <v>0</v>
      </c>
      <c r="AB31" s="125">
        <f t="shared" si="19"/>
        <v>0</v>
      </c>
      <c r="AC31" s="126">
        <f t="shared" si="20"/>
        <v>0</v>
      </c>
      <c r="AD31" s="127" t="s">
        <v>5</v>
      </c>
      <c r="AE31" s="128"/>
    </row>
    <row r="32" spans="1:31" x14ac:dyDescent="0.25">
      <c r="A32" s="50">
        <v>46131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51">
        <f t="shared" si="15"/>
        <v>0</v>
      </c>
      <c r="M32" s="71"/>
      <c r="N32" s="71"/>
      <c r="O32" s="52">
        <f t="shared" si="16"/>
        <v>0</v>
      </c>
      <c r="P32" s="72">
        <v>16.23</v>
      </c>
      <c r="Q32" s="73"/>
      <c r="R32" s="107"/>
      <c r="S32" s="107"/>
      <c r="T32" s="101"/>
      <c r="U32" s="75"/>
      <c r="V32" s="75"/>
      <c r="W32" s="124">
        <f>SUMPRODUCT(B32:K32,$B$5:K$5)</f>
        <v>0</v>
      </c>
      <c r="X32" s="124">
        <f t="shared" si="17"/>
        <v>0</v>
      </c>
      <c r="Y32" s="124">
        <v>16.23</v>
      </c>
      <c r="Z32" s="124">
        <v>16.23</v>
      </c>
      <c r="AA32" s="124">
        <f t="shared" si="18"/>
        <v>0</v>
      </c>
      <c r="AB32" s="125">
        <f t="shared" si="19"/>
        <v>0</v>
      </c>
      <c r="AC32" s="126">
        <f t="shared" si="20"/>
        <v>0</v>
      </c>
      <c r="AD32" s="127" t="s">
        <v>5</v>
      </c>
      <c r="AE32" s="128"/>
    </row>
    <row r="33" spans="1:31" x14ac:dyDescent="0.25">
      <c r="A33" s="53" t="s">
        <v>31</v>
      </c>
      <c r="B33" s="54">
        <f t="shared" ref="B33:O33" si="21">SUBTOTAL(9,B26:B32)</f>
        <v>0</v>
      </c>
      <c r="C33" s="54">
        <f t="shared" si="21"/>
        <v>0</v>
      </c>
      <c r="D33" s="54">
        <f t="shared" si="21"/>
        <v>0</v>
      </c>
      <c r="E33" s="54">
        <f t="shared" si="21"/>
        <v>0</v>
      </c>
      <c r="F33" s="54">
        <f t="shared" si="21"/>
        <v>0</v>
      </c>
      <c r="G33" s="54">
        <f t="shared" si="21"/>
        <v>0</v>
      </c>
      <c r="H33" s="54">
        <f t="shared" si="21"/>
        <v>0</v>
      </c>
      <c r="I33" s="54">
        <f t="shared" si="21"/>
        <v>0</v>
      </c>
      <c r="J33" s="54">
        <f t="shared" si="21"/>
        <v>0</v>
      </c>
      <c r="K33" s="54">
        <f t="shared" si="21"/>
        <v>0</v>
      </c>
      <c r="L33" s="55">
        <f t="shared" si="21"/>
        <v>0</v>
      </c>
      <c r="M33" s="54">
        <f t="shared" si="21"/>
        <v>0</v>
      </c>
      <c r="N33" s="54">
        <f t="shared" si="21"/>
        <v>0</v>
      </c>
      <c r="O33" s="55">
        <f t="shared" si="21"/>
        <v>0</v>
      </c>
      <c r="P33" s="56"/>
      <c r="Q33" s="57">
        <f>SUBTOTAL(9,Q26:Q32)</f>
        <v>0</v>
      </c>
      <c r="R33" s="92"/>
      <c r="S33" s="92"/>
      <c r="T33" s="102"/>
      <c r="U33" s="81"/>
      <c r="V33" s="81"/>
      <c r="W33" s="129">
        <f>SUBTOTAL(9,W26:W32)</f>
        <v>0</v>
      </c>
      <c r="X33" s="129">
        <f>SUBTOTAL(9,X26:X32)</f>
        <v>0</v>
      </c>
      <c r="Y33" s="129"/>
      <c r="Z33" s="129"/>
      <c r="AA33" s="129">
        <f>SUBTOTAL(9,AA26:AA32)</f>
        <v>0</v>
      </c>
      <c r="AB33" s="129">
        <f t="shared" si="19"/>
        <v>0</v>
      </c>
      <c r="AC33" s="129">
        <f t="shared" si="20"/>
        <v>0</v>
      </c>
      <c r="AD33" s="130"/>
      <c r="AE33" s="129">
        <f>SUBTOTAL(9,AE26:AE32)</f>
        <v>0</v>
      </c>
    </row>
    <row r="34" spans="1:31" customFormat="1" ht="33" customHeight="1" x14ac:dyDescent="0.25">
      <c r="A34" s="45" t="s">
        <v>36</v>
      </c>
      <c r="B34" s="46" t="s">
        <v>37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48"/>
      <c r="P34" s="46"/>
      <c r="Q34" s="46"/>
      <c r="R34" s="91"/>
      <c r="S34" s="91"/>
      <c r="T34" s="91"/>
      <c r="U34" s="80"/>
      <c r="V34" s="80"/>
      <c r="W34" s="48"/>
      <c r="X34" s="48"/>
      <c r="Y34" s="48"/>
      <c r="Z34" s="48"/>
      <c r="AA34" s="49"/>
      <c r="AB34" s="121"/>
      <c r="AC34" s="121"/>
      <c r="AD34" s="122"/>
      <c r="AE34" s="123"/>
    </row>
    <row r="35" spans="1:31" x14ac:dyDescent="0.25">
      <c r="A35" s="50">
        <v>46125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51">
        <f t="shared" ref="L35:L41" si="22">SUM(B35:K35)</f>
        <v>0</v>
      </c>
      <c r="M35" s="71"/>
      <c r="N35" s="71"/>
      <c r="O35" s="52">
        <f t="shared" ref="O35:O41" si="23">M35+N35</f>
        <v>0</v>
      </c>
      <c r="P35" s="72">
        <v>16.23</v>
      </c>
      <c r="Q35" s="73"/>
      <c r="R35" s="107"/>
      <c r="S35" s="107"/>
      <c r="T35" s="101"/>
      <c r="U35" s="75"/>
      <c r="V35" s="75"/>
      <c r="W35" s="124">
        <f>SUMPRODUCT(B35:K35,$B$5:K$5)</f>
        <v>0</v>
      </c>
      <c r="X35" s="124">
        <f t="shared" ref="X35:X41" si="24">N35*P35</f>
        <v>0</v>
      </c>
      <c r="Y35" s="124">
        <v>16.23</v>
      </c>
      <c r="Z35" s="124">
        <v>16.23</v>
      </c>
      <c r="AA35" s="124">
        <f t="shared" ref="AA35:AA41" si="25">(M35*Y35)+(N35*Z35)</f>
        <v>0</v>
      </c>
      <c r="AB35" s="125">
        <f t="shared" ref="AB35:AB42" si="26">MAX(AA35-X35-W35,0)</f>
        <v>0</v>
      </c>
      <c r="AC35" s="126">
        <f t="shared" ref="AC35:AC42" si="27">W35+X35+AB35</f>
        <v>0</v>
      </c>
      <c r="AD35" s="127" t="s">
        <v>5</v>
      </c>
      <c r="AE35" s="128"/>
    </row>
    <row r="36" spans="1:31" x14ac:dyDescent="0.25">
      <c r="A36" s="50">
        <v>46126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51">
        <f t="shared" si="22"/>
        <v>0</v>
      </c>
      <c r="M36" s="71"/>
      <c r="N36" s="71"/>
      <c r="O36" s="52">
        <f t="shared" si="23"/>
        <v>0</v>
      </c>
      <c r="P36" s="72">
        <v>16.23</v>
      </c>
      <c r="Q36" s="73"/>
      <c r="R36" s="107"/>
      <c r="S36" s="107"/>
      <c r="T36" s="101"/>
      <c r="U36" s="75"/>
      <c r="V36" s="75"/>
      <c r="W36" s="124">
        <f>SUMPRODUCT(B36:K36,$B$5:K$5)</f>
        <v>0</v>
      </c>
      <c r="X36" s="124">
        <f t="shared" si="24"/>
        <v>0</v>
      </c>
      <c r="Y36" s="124">
        <v>16.23</v>
      </c>
      <c r="Z36" s="124">
        <v>16.23</v>
      </c>
      <c r="AA36" s="124">
        <f t="shared" si="25"/>
        <v>0</v>
      </c>
      <c r="AB36" s="125">
        <f t="shared" si="26"/>
        <v>0</v>
      </c>
      <c r="AC36" s="126">
        <f t="shared" si="27"/>
        <v>0</v>
      </c>
      <c r="AD36" s="127" t="s">
        <v>5</v>
      </c>
      <c r="AE36" s="128"/>
    </row>
    <row r="37" spans="1:31" x14ac:dyDescent="0.25">
      <c r="A37" s="50">
        <v>46127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51">
        <f t="shared" si="22"/>
        <v>0</v>
      </c>
      <c r="M37" s="71"/>
      <c r="N37" s="71"/>
      <c r="O37" s="52">
        <f t="shared" si="23"/>
        <v>0</v>
      </c>
      <c r="P37" s="72">
        <v>16.23</v>
      </c>
      <c r="Q37" s="73"/>
      <c r="R37" s="107"/>
      <c r="S37" s="107"/>
      <c r="T37" s="101"/>
      <c r="U37" s="75"/>
      <c r="V37" s="75"/>
      <c r="W37" s="124">
        <f>SUMPRODUCT(B37:K37,$B$5:K$5)</f>
        <v>0</v>
      </c>
      <c r="X37" s="124">
        <f t="shared" si="24"/>
        <v>0</v>
      </c>
      <c r="Y37" s="124">
        <v>16.23</v>
      </c>
      <c r="Z37" s="124">
        <v>16.23</v>
      </c>
      <c r="AA37" s="124">
        <f t="shared" si="25"/>
        <v>0</v>
      </c>
      <c r="AB37" s="125">
        <f t="shared" si="26"/>
        <v>0</v>
      </c>
      <c r="AC37" s="126">
        <f t="shared" si="27"/>
        <v>0</v>
      </c>
      <c r="AD37" s="127" t="s">
        <v>5</v>
      </c>
      <c r="AE37" s="128"/>
    </row>
    <row r="38" spans="1:31" x14ac:dyDescent="0.25">
      <c r="A38" s="50">
        <v>46128</v>
      </c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51">
        <f t="shared" si="22"/>
        <v>0</v>
      </c>
      <c r="M38" s="71"/>
      <c r="N38" s="71"/>
      <c r="O38" s="52">
        <f t="shared" si="23"/>
        <v>0</v>
      </c>
      <c r="P38" s="72">
        <v>16.23</v>
      </c>
      <c r="Q38" s="73"/>
      <c r="R38" s="107"/>
      <c r="S38" s="107"/>
      <c r="T38" s="101"/>
      <c r="U38" s="75"/>
      <c r="V38" s="75"/>
      <c r="W38" s="124">
        <f>SUMPRODUCT(B38:K38,$B$5:K$5)</f>
        <v>0</v>
      </c>
      <c r="X38" s="124">
        <f t="shared" si="24"/>
        <v>0</v>
      </c>
      <c r="Y38" s="124">
        <v>16.23</v>
      </c>
      <c r="Z38" s="124">
        <v>16.23</v>
      </c>
      <c r="AA38" s="124">
        <f t="shared" si="25"/>
        <v>0</v>
      </c>
      <c r="AB38" s="125">
        <f t="shared" si="26"/>
        <v>0</v>
      </c>
      <c r="AC38" s="126">
        <f t="shared" si="27"/>
        <v>0</v>
      </c>
      <c r="AD38" s="127" t="s">
        <v>5</v>
      </c>
      <c r="AE38" s="128"/>
    </row>
    <row r="39" spans="1:31" x14ac:dyDescent="0.25">
      <c r="A39" s="50">
        <v>46129</v>
      </c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51">
        <f t="shared" si="22"/>
        <v>0</v>
      </c>
      <c r="M39" s="71"/>
      <c r="N39" s="71"/>
      <c r="O39" s="52">
        <f t="shared" si="23"/>
        <v>0</v>
      </c>
      <c r="P39" s="72">
        <v>16.23</v>
      </c>
      <c r="Q39" s="73"/>
      <c r="R39" s="107"/>
      <c r="S39" s="107"/>
      <c r="T39" s="101"/>
      <c r="U39" s="75"/>
      <c r="V39" s="75"/>
      <c r="W39" s="124">
        <f>SUMPRODUCT(B39:K39,$B$5:K$5)</f>
        <v>0</v>
      </c>
      <c r="X39" s="124">
        <f t="shared" si="24"/>
        <v>0</v>
      </c>
      <c r="Y39" s="124">
        <v>16.23</v>
      </c>
      <c r="Z39" s="124">
        <v>16.23</v>
      </c>
      <c r="AA39" s="124">
        <f t="shared" si="25"/>
        <v>0</v>
      </c>
      <c r="AB39" s="125">
        <f t="shared" si="26"/>
        <v>0</v>
      </c>
      <c r="AC39" s="126">
        <f t="shared" si="27"/>
        <v>0</v>
      </c>
      <c r="AD39" s="127" t="s">
        <v>5</v>
      </c>
      <c r="AE39" s="128"/>
    </row>
    <row r="40" spans="1:31" x14ac:dyDescent="0.25">
      <c r="A40" s="50">
        <v>46130</v>
      </c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51">
        <f t="shared" si="22"/>
        <v>0</v>
      </c>
      <c r="M40" s="71"/>
      <c r="N40" s="71"/>
      <c r="O40" s="52">
        <f t="shared" si="23"/>
        <v>0</v>
      </c>
      <c r="P40" s="72">
        <v>16.23</v>
      </c>
      <c r="Q40" s="73"/>
      <c r="R40" s="107"/>
      <c r="S40" s="107"/>
      <c r="T40" s="101"/>
      <c r="U40" s="75"/>
      <c r="V40" s="75"/>
      <c r="W40" s="124">
        <f>SUMPRODUCT(B40:K40,$B$5:K$5)</f>
        <v>0</v>
      </c>
      <c r="X40" s="124">
        <f t="shared" si="24"/>
        <v>0</v>
      </c>
      <c r="Y40" s="124">
        <v>16.23</v>
      </c>
      <c r="Z40" s="124">
        <v>16.23</v>
      </c>
      <c r="AA40" s="124">
        <f t="shared" si="25"/>
        <v>0</v>
      </c>
      <c r="AB40" s="125">
        <f t="shared" si="26"/>
        <v>0</v>
      </c>
      <c r="AC40" s="126">
        <f t="shared" si="27"/>
        <v>0</v>
      </c>
      <c r="AD40" s="127" t="s">
        <v>5</v>
      </c>
      <c r="AE40" s="128"/>
    </row>
    <row r="41" spans="1:31" x14ac:dyDescent="0.25">
      <c r="A41" s="50">
        <v>46131</v>
      </c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51">
        <f t="shared" si="22"/>
        <v>0</v>
      </c>
      <c r="M41" s="71"/>
      <c r="N41" s="71"/>
      <c r="O41" s="52">
        <f t="shared" si="23"/>
        <v>0</v>
      </c>
      <c r="P41" s="72">
        <v>16.23</v>
      </c>
      <c r="Q41" s="73"/>
      <c r="R41" s="107"/>
      <c r="S41" s="107"/>
      <c r="T41" s="101"/>
      <c r="U41" s="75"/>
      <c r="V41" s="75"/>
      <c r="W41" s="124">
        <f>SUMPRODUCT(B41:K41,$B$5:K$5)</f>
        <v>0</v>
      </c>
      <c r="X41" s="124">
        <f t="shared" si="24"/>
        <v>0</v>
      </c>
      <c r="Y41" s="124">
        <v>16.23</v>
      </c>
      <c r="Z41" s="124">
        <v>16.23</v>
      </c>
      <c r="AA41" s="124">
        <f t="shared" si="25"/>
        <v>0</v>
      </c>
      <c r="AB41" s="125">
        <f t="shared" si="26"/>
        <v>0</v>
      </c>
      <c r="AC41" s="126">
        <f t="shared" si="27"/>
        <v>0</v>
      </c>
      <c r="AD41" s="127" t="s">
        <v>5</v>
      </c>
      <c r="AE41" s="128"/>
    </row>
    <row r="42" spans="1:31" x14ac:dyDescent="0.25">
      <c r="A42" s="53" t="s">
        <v>31</v>
      </c>
      <c r="B42" s="54">
        <f t="shared" ref="B42:O42" si="28">SUBTOTAL(9,B35:B41)</f>
        <v>0</v>
      </c>
      <c r="C42" s="54">
        <f t="shared" si="28"/>
        <v>0</v>
      </c>
      <c r="D42" s="54">
        <f t="shared" si="28"/>
        <v>0</v>
      </c>
      <c r="E42" s="54">
        <f t="shared" si="28"/>
        <v>0</v>
      </c>
      <c r="F42" s="54">
        <f t="shared" si="28"/>
        <v>0</v>
      </c>
      <c r="G42" s="54">
        <f t="shared" si="28"/>
        <v>0</v>
      </c>
      <c r="H42" s="54">
        <f t="shared" si="28"/>
        <v>0</v>
      </c>
      <c r="I42" s="54">
        <f t="shared" si="28"/>
        <v>0</v>
      </c>
      <c r="J42" s="54">
        <f t="shared" si="28"/>
        <v>0</v>
      </c>
      <c r="K42" s="54">
        <f t="shared" si="28"/>
        <v>0</v>
      </c>
      <c r="L42" s="55">
        <f t="shared" si="28"/>
        <v>0</v>
      </c>
      <c r="M42" s="54">
        <f t="shared" si="28"/>
        <v>0</v>
      </c>
      <c r="N42" s="54">
        <f t="shared" si="28"/>
        <v>0</v>
      </c>
      <c r="O42" s="55">
        <f t="shared" si="28"/>
        <v>0</v>
      </c>
      <c r="P42" s="56"/>
      <c r="Q42" s="57">
        <f>SUBTOTAL(9,Q35:Q41)</f>
        <v>0</v>
      </c>
      <c r="R42" s="92"/>
      <c r="S42" s="92"/>
      <c r="T42" s="102"/>
      <c r="U42" s="81"/>
      <c r="V42" s="81"/>
      <c r="W42" s="129">
        <f>SUBTOTAL(9,W35:W41)</f>
        <v>0</v>
      </c>
      <c r="X42" s="129">
        <f>SUBTOTAL(9,X35:X41)</f>
        <v>0</v>
      </c>
      <c r="Y42" s="129"/>
      <c r="Z42" s="129"/>
      <c r="AA42" s="129">
        <f>SUBTOTAL(9,AA35:AA41)</f>
        <v>0</v>
      </c>
      <c r="AB42" s="129">
        <f t="shared" si="26"/>
        <v>0</v>
      </c>
      <c r="AC42" s="129">
        <f t="shared" si="27"/>
        <v>0</v>
      </c>
      <c r="AD42" s="130"/>
      <c r="AE42" s="129">
        <f>SUBTOTAL(9,AE35:AE41)</f>
        <v>0</v>
      </c>
    </row>
    <row r="43" spans="1:31" customFormat="1" ht="33" customHeight="1" x14ac:dyDescent="0.25">
      <c r="A43" s="45" t="s">
        <v>38</v>
      </c>
      <c r="B43" s="46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48"/>
      <c r="P43" s="46"/>
      <c r="Q43" s="46"/>
      <c r="R43" s="91"/>
      <c r="S43" s="91"/>
      <c r="T43" s="91"/>
      <c r="U43" s="80"/>
      <c r="V43" s="80"/>
      <c r="W43" s="48"/>
      <c r="X43" s="48"/>
      <c r="Y43" s="48"/>
      <c r="Z43" s="48"/>
      <c r="AA43" s="49"/>
      <c r="AB43" s="121"/>
      <c r="AC43" s="121"/>
      <c r="AD43" s="122"/>
      <c r="AE43" s="123"/>
    </row>
    <row r="44" spans="1:31" x14ac:dyDescent="0.25">
      <c r="A44" s="50">
        <v>46125</v>
      </c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51">
        <f t="shared" ref="L44:L50" si="29">SUM(B44:K44)</f>
        <v>0</v>
      </c>
      <c r="M44" s="71"/>
      <c r="N44" s="71">
        <v>11</v>
      </c>
      <c r="O44" s="52">
        <f t="shared" ref="O44:O50" si="30">M44+N44</f>
        <v>11</v>
      </c>
      <c r="P44" s="72">
        <v>21.62</v>
      </c>
      <c r="Q44" s="73">
        <v>11</v>
      </c>
      <c r="R44" s="107"/>
      <c r="S44" s="107"/>
      <c r="T44" s="101"/>
      <c r="U44" s="75"/>
      <c r="V44" s="75"/>
      <c r="W44" s="124">
        <f>SUMPRODUCT(B44:K44,$B$5:K$5)</f>
        <v>0</v>
      </c>
      <c r="X44" s="124">
        <f t="shared" ref="X44:X50" si="31">N44*P44</f>
        <v>237.82000000000002</v>
      </c>
      <c r="Y44" s="124">
        <v>21.62</v>
      </c>
      <c r="Z44" s="124">
        <v>21.62</v>
      </c>
      <c r="AA44" s="124">
        <f t="shared" ref="AA44:AA50" si="32">(M44*Y44)+(N44*Z44)</f>
        <v>237.82000000000002</v>
      </c>
      <c r="AB44" s="125">
        <f t="shared" ref="AB44:AB51" si="33">MAX(AA44-X44-W44,0)</f>
        <v>0</v>
      </c>
      <c r="AC44" s="126">
        <f t="shared" ref="AC44:AC51" si="34">W44+X44+AB44</f>
        <v>237.82000000000002</v>
      </c>
      <c r="AD44" s="127" t="s">
        <v>5</v>
      </c>
      <c r="AE44" s="128"/>
    </row>
    <row r="45" spans="1:31" x14ac:dyDescent="0.25">
      <c r="A45" s="50">
        <v>46126</v>
      </c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51">
        <f t="shared" si="29"/>
        <v>0</v>
      </c>
      <c r="M45" s="71"/>
      <c r="N45" s="71">
        <v>11</v>
      </c>
      <c r="O45" s="52">
        <f t="shared" si="30"/>
        <v>11</v>
      </c>
      <c r="P45" s="72">
        <v>21.62</v>
      </c>
      <c r="Q45" s="73">
        <v>11</v>
      </c>
      <c r="R45" s="107"/>
      <c r="S45" s="107"/>
      <c r="T45" s="101"/>
      <c r="U45" s="75"/>
      <c r="V45" s="75"/>
      <c r="W45" s="124">
        <f>SUMPRODUCT(B45:K45,$B$5:K$5)</f>
        <v>0</v>
      </c>
      <c r="X45" s="124">
        <f t="shared" si="31"/>
        <v>237.82000000000002</v>
      </c>
      <c r="Y45" s="124">
        <v>21.62</v>
      </c>
      <c r="Z45" s="124">
        <v>21.62</v>
      </c>
      <c r="AA45" s="124">
        <f t="shared" si="32"/>
        <v>237.82000000000002</v>
      </c>
      <c r="AB45" s="125">
        <f t="shared" si="33"/>
        <v>0</v>
      </c>
      <c r="AC45" s="126">
        <f t="shared" si="34"/>
        <v>237.82000000000002</v>
      </c>
      <c r="AD45" s="127" t="s">
        <v>5</v>
      </c>
      <c r="AE45" s="128"/>
    </row>
    <row r="46" spans="1:31" x14ac:dyDescent="0.25">
      <c r="A46" s="50">
        <v>46127</v>
      </c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51">
        <f t="shared" si="29"/>
        <v>0</v>
      </c>
      <c r="M46" s="71"/>
      <c r="N46" s="71">
        <v>11</v>
      </c>
      <c r="O46" s="52">
        <f t="shared" si="30"/>
        <v>11</v>
      </c>
      <c r="P46" s="72">
        <v>21.62</v>
      </c>
      <c r="Q46" s="73">
        <v>11</v>
      </c>
      <c r="R46" s="107"/>
      <c r="S46" s="107"/>
      <c r="T46" s="101"/>
      <c r="U46" s="75"/>
      <c r="V46" s="75"/>
      <c r="W46" s="124">
        <f>SUMPRODUCT(B46:K46,$B$5:K$5)</f>
        <v>0</v>
      </c>
      <c r="X46" s="124">
        <f t="shared" si="31"/>
        <v>237.82000000000002</v>
      </c>
      <c r="Y46" s="124">
        <v>21.62</v>
      </c>
      <c r="Z46" s="124">
        <v>21.62</v>
      </c>
      <c r="AA46" s="124">
        <f t="shared" si="32"/>
        <v>237.82000000000002</v>
      </c>
      <c r="AB46" s="125">
        <f t="shared" si="33"/>
        <v>0</v>
      </c>
      <c r="AC46" s="126">
        <f t="shared" si="34"/>
        <v>237.82000000000002</v>
      </c>
      <c r="AD46" s="127" t="s">
        <v>5</v>
      </c>
      <c r="AE46" s="128"/>
    </row>
    <row r="47" spans="1:31" x14ac:dyDescent="0.25">
      <c r="A47" s="50">
        <v>46128</v>
      </c>
      <c r="B47" s="69"/>
      <c r="C47" s="70"/>
      <c r="D47" s="70"/>
      <c r="E47" s="70"/>
      <c r="F47" s="70"/>
      <c r="G47" s="70"/>
      <c r="H47" s="70"/>
      <c r="I47" s="70"/>
      <c r="J47" s="70"/>
      <c r="K47" s="70"/>
      <c r="L47" s="51">
        <f t="shared" si="29"/>
        <v>0</v>
      </c>
      <c r="M47" s="71"/>
      <c r="N47" s="71">
        <v>11</v>
      </c>
      <c r="O47" s="52">
        <f t="shared" si="30"/>
        <v>11</v>
      </c>
      <c r="P47" s="72">
        <v>21.62</v>
      </c>
      <c r="Q47" s="73">
        <v>11</v>
      </c>
      <c r="R47" s="107"/>
      <c r="S47" s="107"/>
      <c r="T47" s="101"/>
      <c r="U47" s="75"/>
      <c r="V47" s="75"/>
      <c r="W47" s="124">
        <f>SUMPRODUCT(B47:K47,$B$5:K$5)</f>
        <v>0</v>
      </c>
      <c r="X47" s="124">
        <f t="shared" si="31"/>
        <v>237.82000000000002</v>
      </c>
      <c r="Y47" s="124">
        <v>21.62</v>
      </c>
      <c r="Z47" s="124">
        <v>21.62</v>
      </c>
      <c r="AA47" s="124">
        <f t="shared" si="32"/>
        <v>237.82000000000002</v>
      </c>
      <c r="AB47" s="125">
        <f t="shared" si="33"/>
        <v>0</v>
      </c>
      <c r="AC47" s="126">
        <f t="shared" si="34"/>
        <v>237.82000000000002</v>
      </c>
      <c r="AD47" s="127" t="s">
        <v>5</v>
      </c>
      <c r="AE47" s="128"/>
    </row>
    <row r="48" spans="1:31" x14ac:dyDescent="0.25">
      <c r="A48" s="50">
        <v>46129</v>
      </c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51">
        <f t="shared" si="29"/>
        <v>0</v>
      </c>
      <c r="M48" s="71"/>
      <c r="N48" s="71">
        <v>11</v>
      </c>
      <c r="O48" s="52">
        <f t="shared" si="30"/>
        <v>11</v>
      </c>
      <c r="P48" s="72">
        <v>21.62</v>
      </c>
      <c r="Q48" s="73">
        <v>11</v>
      </c>
      <c r="R48" s="107"/>
      <c r="S48" s="107"/>
      <c r="T48" s="101"/>
      <c r="U48" s="75"/>
      <c r="V48" s="75"/>
      <c r="W48" s="124">
        <f>SUMPRODUCT(B48:K48,$B$5:K$5)</f>
        <v>0</v>
      </c>
      <c r="X48" s="124">
        <f t="shared" si="31"/>
        <v>237.82000000000002</v>
      </c>
      <c r="Y48" s="124">
        <v>21.62</v>
      </c>
      <c r="Z48" s="124">
        <v>21.62</v>
      </c>
      <c r="AA48" s="124">
        <f t="shared" si="32"/>
        <v>237.82000000000002</v>
      </c>
      <c r="AB48" s="125">
        <f t="shared" si="33"/>
        <v>0</v>
      </c>
      <c r="AC48" s="126">
        <f t="shared" si="34"/>
        <v>237.82000000000002</v>
      </c>
      <c r="AD48" s="127" t="s">
        <v>5</v>
      </c>
      <c r="AE48" s="128"/>
    </row>
    <row r="49" spans="1:31" x14ac:dyDescent="0.25">
      <c r="A49" s="50">
        <v>46130</v>
      </c>
      <c r="B49" s="69"/>
      <c r="C49" s="70"/>
      <c r="D49" s="70"/>
      <c r="E49" s="70"/>
      <c r="F49" s="70"/>
      <c r="G49" s="70"/>
      <c r="H49" s="70"/>
      <c r="I49" s="70"/>
      <c r="J49" s="70"/>
      <c r="K49" s="70"/>
      <c r="L49" s="51">
        <f t="shared" si="29"/>
        <v>0</v>
      </c>
      <c r="M49" s="71"/>
      <c r="N49" s="71">
        <v>10</v>
      </c>
      <c r="O49" s="52">
        <f t="shared" si="30"/>
        <v>10</v>
      </c>
      <c r="P49" s="72">
        <v>21.62</v>
      </c>
      <c r="Q49" s="73">
        <v>10</v>
      </c>
      <c r="R49" s="107"/>
      <c r="S49" s="107"/>
      <c r="T49" s="101"/>
      <c r="U49" s="75"/>
      <c r="V49" s="75"/>
      <c r="W49" s="124">
        <f>SUMPRODUCT(B49:K49,$B$5:K$5)</f>
        <v>0</v>
      </c>
      <c r="X49" s="124">
        <f t="shared" si="31"/>
        <v>216.20000000000002</v>
      </c>
      <c r="Y49" s="124">
        <v>21.62</v>
      </c>
      <c r="Z49" s="124">
        <v>21.62</v>
      </c>
      <c r="AA49" s="124">
        <f t="shared" si="32"/>
        <v>216.20000000000002</v>
      </c>
      <c r="AB49" s="125">
        <f t="shared" si="33"/>
        <v>0</v>
      </c>
      <c r="AC49" s="126">
        <f t="shared" si="34"/>
        <v>216.20000000000002</v>
      </c>
      <c r="AD49" s="127" t="s">
        <v>5</v>
      </c>
      <c r="AE49" s="128"/>
    </row>
    <row r="50" spans="1:31" x14ac:dyDescent="0.25">
      <c r="A50" s="50">
        <v>46131</v>
      </c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51">
        <f t="shared" si="29"/>
        <v>0</v>
      </c>
      <c r="M50" s="71"/>
      <c r="N50" s="71">
        <v>7.5</v>
      </c>
      <c r="O50" s="52">
        <f t="shared" si="30"/>
        <v>7.5</v>
      </c>
      <c r="P50" s="72">
        <v>21.62</v>
      </c>
      <c r="Q50" s="73">
        <v>7.5</v>
      </c>
      <c r="R50" s="107"/>
      <c r="S50" s="107"/>
      <c r="T50" s="101"/>
      <c r="U50" s="75"/>
      <c r="V50" s="75"/>
      <c r="W50" s="124">
        <f>SUMPRODUCT(B50:K50,$B$5:K$5)</f>
        <v>0</v>
      </c>
      <c r="X50" s="124">
        <f t="shared" si="31"/>
        <v>162.15</v>
      </c>
      <c r="Y50" s="124">
        <v>21.62</v>
      </c>
      <c r="Z50" s="124">
        <v>21.62</v>
      </c>
      <c r="AA50" s="124">
        <f t="shared" si="32"/>
        <v>162.15</v>
      </c>
      <c r="AB50" s="125">
        <f t="shared" si="33"/>
        <v>0</v>
      </c>
      <c r="AC50" s="126">
        <f t="shared" si="34"/>
        <v>162.15</v>
      </c>
      <c r="AD50" s="127" t="s">
        <v>5</v>
      </c>
      <c r="AE50" s="128"/>
    </row>
    <row r="51" spans="1:31" x14ac:dyDescent="0.25">
      <c r="A51" s="53" t="s">
        <v>31</v>
      </c>
      <c r="B51" s="54">
        <f t="shared" ref="B51:O51" si="35">SUBTOTAL(9,B44:B50)</f>
        <v>0</v>
      </c>
      <c r="C51" s="54">
        <f t="shared" si="35"/>
        <v>0</v>
      </c>
      <c r="D51" s="54">
        <f t="shared" si="35"/>
        <v>0</v>
      </c>
      <c r="E51" s="54">
        <f t="shared" si="35"/>
        <v>0</v>
      </c>
      <c r="F51" s="54">
        <f t="shared" si="35"/>
        <v>0</v>
      </c>
      <c r="G51" s="54">
        <f t="shared" si="35"/>
        <v>0</v>
      </c>
      <c r="H51" s="54">
        <f t="shared" si="35"/>
        <v>0</v>
      </c>
      <c r="I51" s="54">
        <f t="shared" si="35"/>
        <v>0</v>
      </c>
      <c r="J51" s="54">
        <f t="shared" si="35"/>
        <v>0</v>
      </c>
      <c r="K51" s="54">
        <f t="shared" si="35"/>
        <v>0</v>
      </c>
      <c r="L51" s="55">
        <f t="shared" si="35"/>
        <v>0</v>
      </c>
      <c r="M51" s="54">
        <f t="shared" si="35"/>
        <v>0</v>
      </c>
      <c r="N51" s="54">
        <f t="shared" si="35"/>
        <v>72.5</v>
      </c>
      <c r="O51" s="55">
        <f t="shared" si="35"/>
        <v>72.5</v>
      </c>
      <c r="P51" s="56"/>
      <c r="Q51" s="57">
        <f>SUBTOTAL(9,Q44:Q50)</f>
        <v>72.5</v>
      </c>
      <c r="R51" s="92"/>
      <c r="S51" s="92"/>
      <c r="T51" s="102"/>
      <c r="U51" s="81"/>
      <c r="V51" s="81"/>
      <c r="W51" s="129">
        <f>SUBTOTAL(9,W44:W50)</f>
        <v>0</v>
      </c>
      <c r="X51" s="129">
        <f>SUBTOTAL(9,X44:X50)</f>
        <v>1567.4500000000003</v>
      </c>
      <c r="Y51" s="129"/>
      <c r="Z51" s="129"/>
      <c r="AA51" s="129">
        <f>SUBTOTAL(9,AA44:AA50)</f>
        <v>1567.4500000000003</v>
      </c>
      <c r="AB51" s="129">
        <f t="shared" si="33"/>
        <v>0</v>
      </c>
      <c r="AC51" s="129">
        <f t="shared" si="34"/>
        <v>1567.4500000000003</v>
      </c>
      <c r="AD51" s="130"/>
      <c r="AE51" s="129">
        <f>SUBTOTAL(9,AE44:AE50)</f>
        <v>0</v>
      </c>
    </row>
    <row r="52" spans="1:31" customFormat="1" ht="33" customHeight="1" x14ac:dyDescent="0.25">
      <c r="A52" s="45" t="s">
        <v>40</v>
      </c>
      <c r="B52" s="46" t="s">
        <v>41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48"/>
      <c r="P52" s="46"/>
      <c r="Q52" s="46"/>
      <c r="R52" s="91"/>
      <c r="S52" s="91"/>
      <c r="T52" s="91"/>
      <c r="U52" s="80"/>
      <c r="V52" s="80"/>
      <c r="W52" s="48"/>
      <c r="X52" s="48"/>
      <c r="Y52" s="48"/>
      <c r="Z52" s="48"/>
      <c r="AA52" s="49"/>
      <c r="AB52" s="121"/>
      <c r="AC52" s="121"/>
      <c r="AD52" s="122"/>
      <c r="AE52" s="123"/>
    </row>
    <row r="53" spans="1:31" x14ac:dyDescent="0.25">
      <c r="A53" s="50">
        <v>46125</v>
      </c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51">
        <f t="shared" ref="L53:L59" si="36">SUM(B53:K53)</f>
        <v>0</v>
      </c>
      <c r="M53" s="71"/>
      <c r="N53" s="71">
        <v>10</v>
      </c>
      <c r="O53" s="52">
        <f t="shared" ref="O53:O59" si="37">M53+N53</f>
        <v>10</v>
      </c>
      <c r="P53" s="72">
        <v>16.23</v>
      </c>
      <c r="Q53" s="73">
        <v>10</v>
      </c>
      <c r="R53" s="107"/>
      <c r="S53" s="107"/>
      <c r="T53" s="101"/>
      <c r="U53" s="75"/>
      <c r="V53" s="75"/>
      <c r="W53" s="124">
        <f>SUMPRODUCT(B53:K53,$B$5:K$5)</f>
        <v>0</v>
      </c>
      <c r="X53" s="124">
        <f t="shared" ref="X53:X59" si="38">N53*P53</f>
        <v>162.30000000000001</v>
      </c>
      <c r="Y53" s="124">
        <v>16.23</v>
      </c>
      <c r="Z53" s="124">
        <v>16.23</v>
      </c>
      <c r="AA53" s="124">
        <f t="shared" ref="AA53:AA59" si="39">(M53*Y53)+(N53*Z53)</f>
        <v>162.30000000000001</v>
      </c>
      <c r="AB53" s="125">
        <f t="shared" ref="AB53:AB60" si="40">MAX(AA53-X53-W53,0)</f>
        <v>0</v>
      </c>
      <c r="AC53" s="126">
        <f t="shared" ref="AC53:AC60" si="41">W53+X53+AB53</f>
        <v>162.30000000000001</v>
      </c>
      <c r="AD53" s="127" t="s">
        <v>5</v>
      </c>
      <c r="AE53" s="128"/>
    </row>
    <row r="54" spans="1:31" x14ac:dyDescent="0.25">
      <c r="A54" s="50">
        <v>46126</v>
      </c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51">
        <f t="shared" si="36"/>
        <v>0</v>
      </c>
      <c r="M54" s="71"/>
      <c r="N54" s="71">
        <v>11</v>
      </c>
      <c r="O54" s="52">
        <f t="shared" si="37"/>
        <v>11</v>
      </c>
      <c r="P54" s="72">
        <v>16.23</v>
      </c>
      <c r="Q54" s="73">
        <v>11</v>
      </c>
      <c r="R54" s="107"/>
      <c r="S54" s="107"/>
      <c r="T54" s="101"/>
      <c r="U54" s="75"/>
      <c r="V54" s="75"/>
      <c r="W54" s="124">
        <f>SUMPRODUCT(B54:K54,$B$5:K$5)</f>
        <v>0</v>
      </c>
      <c r="X54" s="124">
        <f t="shared" si="38"/>
        <v>178.53</v>
      </c>
      <c r="Y54" s="124">
        <v>16.23</v>
      </c>
      <c r="Z54" s="124">
        <v>16.23</v>
      </c>
      <c r="AA54" s="124">
        <f t="shared" si="39"/>
        <v>178.53</v>
      </c>
      <c r="AB54" s="125">
        <f t="shared" si="40"/>
        <v>0</v>
      </c>
      <c r="AC54" s="126">
        <f t="shared" si="41"/>
        <v>178.53</v>
      </c>
      <c r="AD54" s="127" t="s">
        <v>5</v>
      </c>
      <c r="AE54" s="128"/>
    </row>
    <row r="55" spans="1:31" x14ac:dyDescent="0.25">
      <c r="A55" s="50">
        <v>46127</v>
      </c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51">
        <f t="shared" si="36"/>
        <v>0</v>
      </c>
      <c r="M55" s="71"/>
      <c r="N55" s="71">
        <v>10</v>
      </c>
      <c r="O55" s="52">
        <f t="shared" si="37"/>
        <v>10</v>
      </c>
      <c r="P55" s="72">
        <v>16.23</v>
      </c>
      <c r="Q55" s="73">
        <v>10</v>
      </c>
      <c r="R55" s="107"/>
      <c r="S55" s="107"/>
      <c r="T55" s="101"/>
      <c r="U55" s="75"/>
      <c r="V55" s="75"/>
      <c r="W55" s="124">
        <f>SUMPRODUCT(B55:K55,$B$5:K$5)</f>
        <v>0</v>
      </c>
      <c r="X55" s="124">
        <f t="shared" si="38"/>
        <v>162.30000000000001</v>
      </c>
      <c r="Y55" s="124">
        <v>16.23</v>
      </c>
      <c r="Z55" s="124">
        <v>16.23</v>
      </c>
      <c r="AA55" s="124">
        <f t="shared" si="39"/>
        <v>162.30000000000001</v>
      </c>
      <c r="AB55" s="125">
        <f t="shared" si="40"/>
        <v>0</v>
      </c>
      <c r="AC55" s="126">
        <f t="shared" si="41"/>
        <v>162.30000000000001</v>
      </c>
      <c r="AD55" s="127" t="s">
        <v>5</v>
      </c>
      <c r="AE55" s="128"/>
    </row>
    <row r="56" spans="1:31" x14ac:dyDescent="0.25">
      <c r="A56" s="50">
        <v>46128</v>
      </c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51">
        <f t="shared" si="36"/>
        <v>0</v>
      </c>
      <c r="M56" s="71"/>
      <c r="N56" s="71">
        <v>11</v>
      </c>
      <c r="O56" s="52">
        <f t="shared" si="37"/>
        <v>11</v>
      </c>
      <c r="P56" s="72">
        <v>16.23</v>
      </c>
      <c r="Q56" s="73">
        <v>11</v>
      </c>
      <c r="R56" s="107"/>
      <c r="S56" s="107"/>
      <c r="T56" s="101"/>
      <c r="U56" s="75"/>
      <c r="V56" s="75"/>
      <c r="W56" s="124">
        <f>SUMPRODUCT(B56:K56,$B$5:K$5)</f>
        <v>0</v>
      </c>
      <c r="X56" s="124">
        <f t="shared" si="38"/>
        <v>178.53</v>
      </c>
      <c r="Y56" s="124">
        <v>16.23</v>
      </c>
      <c r="Z56" s="124">
        <v>16.23</v>
      </c>
      <c r="AA56" s="124">
        <f t="shared" si="39"/>
        <v>178.53</v>
      </c>
      <c r="AB56" s="125">
        <f t="shared" si="40"/>
        <v>0</v>
      </c>
      <c r="AC56" s="126">
        <f t="shared" si="41"/>
        <v>178.53</v>
      </c>
      <c r="AD56" s="127" t="s">
        <v>5</v>
      </c>
      <c r="AE56" s="128"/>
    </row>
    <row r="57" spans="1:31" x14ac:dyDescent="0.25">
      <c r="A57" s="50">
        <v>46129</v>
      </c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51">
        <f t="shared" si="36"/>
        <v>0</v>
      </c>
      <c r="M57" s="71"/>
      <c r="N57" s="71">
        <v>10.5</v>
      </c>
      <c r="O57" s="52">
        <f t="shared" si="37"/>
        <v>10.5</v>
      </c>
      <c r="P57" s="72">
        <v>16.23</v>
      </c>
      <c r="Q57" s="73">
        <v>10.5</v>
      </c>
      <c r="R57" s="107"/>
      <c r="S57" s="107"/>
      <c r="T57" s="101"/>
      <c r="U57" s="75"/>
      <c r="V57" s="75"/>
      <c r="W57" s="124">
        <f>SUMPRODUCT(B57:K57,$B$5:K$5)</f>
        <v>0</v>
      </c>
      <c r="X57" s="124">
        <f t="shared" si="38"/>
        <v>170.41499999999999</v>
      </c>
      <c r="Y57" s="124">
        <v>16.23</v>
      </c>
      <c r="Z57" s="124">
        <v>16.23</v>
      </c>
      <c r="AA57" s="124">
        <f t="shared" si="39"/>
        <v>170.41499999999999</v>
      </c>
      <c r="AB57" s="125">
        <f t="shared" si="40"/>
        <v>0</v>
      </c>
      <c r="AC57" s="126">
        <f t="shared" si="41"/>
        <v>170.41499999999999</v>
      </c>
      <c r="AD57" s="127" t="s">
        <v>5</v>
      </c>
      <c r="AE57" s="128"/>
    </row>
    <row r="58" spans="1:31" x14ac:dyDescent="0.25">
      <c r="A58" s="50">
        <v>46130</v>
      </c>
      <c r="B58" s="69"/>
      <c r="C58" s="70"/>
      <c r="D58" s="70"/>
      <c r="E58" s="70"/>
      <c r="F58" s="70"/>
      <c r="G58" s="70"/>
      <c r="H58" s="70"/>
      <c r="I58" s="70"/>
      <c r="J58" s="70"/>
      <c r="K58" s="70"/>
      <c r="L58" s="51">
        <f t="shared" si="36"/>
        <v>0</v>
      </c>
      <c r="M58" s="71"/>
      <c r="N58" s="71">
        <v>8.5</v>
      </c>
      <c r="O58" s="52">
        <f t="shared" si="37"/>
        <v>8.5</v>
      </c>
      <c r="P58" s="72">
        <v>16.23</v>
      </c>
      <c r="Q58" s="73">
        <v>8.5</v>
      </c>
      <c r="R58" s="107"/>
      <c r="S58" s="107"/>
      <c r="T58" s="101"/>
      <c r="U58" s="75"/>
      <c r="V58" s="75"/>
      <c r="W58" s="124">
        <f>SUMPRODUCT(B58:K58,$B$5:K$5)</f>
        <v>0</v>
      </c>
      <c r="X58" s="124">
        <f t="shared" si="38"/>
        <v>137.95500000000001</v>
      </c>
      <c r="Y58" s="124">
        <v>16.23</v>
      </c>
      <c r="Z58" s="124">
        <v>16.23</v>
      </c>
      <c r="AA58" s="124">
        <f t="shared" si="39"/>
        <v>137.95500000000001</v>
      </c>
      <c r="AB58" s="125">
        <f t="shared" si="40"/>
        <v>0</v>
      </c>
      <c r="AC58" s="126">
        <f t="shared" si="41"/>
        <v>137.95500000000001</v>
      </c>
      <c r="AD58" s="127" t="s">
        <v>5</v>
      </c>
      <c r="AE58" s="128"/>
    </row>
    <row r="59" spans="1:31" x14ac:dyDescent="0.25">
      <c r="A59" s="50">
        <v>46131</v>
      </c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51">
        <f t="shared" si="36"/>
        <v>0</v>
      </c>
      <c r="M59" s="71"/>
      <c r="N59" s="71">
        <v>10.75</v>
      </c>
      <c r="O59" s="52">
        <f t="shared" si="37"/>
        <v>10.75</v>
      </c>
      <c r="P59" s="72">
        <v>16.23</v>
      </c>
      <c r="Q59" s="73">
        <v>10.75</v>
      </c>
      <c r="R59" s="107"/>
      <c r="S59" s="107"/>
      <c r="T59" s="101"/>
      <c r="U59" s="75"/>
      <c r="V59" s="75"/>
      <c r="W59" s="124">
        <f>SUMPRODUCT(B59:K59,$B$5:K$5)</f>
        <v>0</v>
      </c>
      <c r="X59" s="124">
        <f t="shared" si="38"/>
        <v>174.4725</v>
      </c>
      <c r="Y59" s="124">
        <v>16.23</v>
      </c>
      <c r="Z59" s="124">
        <v>16.23</v>
      </c>
      <c r="AA59" s="124">
        <f t="shared" si="39"/>
        <v>174.4725</v>
      </c>
      <c r="AB59" s="125">
        <f t="shared" si="40"/>
        <v>0</v>
      </c>
      <c r="AC59" s="126">
        <f t="shared" si="41"/>
        <v>174.4725</v>
      </c>
      <c r="AD59" s="127" t="s">
        <v>5</v>
      </c>
      <c r="AE59" s="128"/>
    </row>
    <row r="60" spans="1:31" x14ac:dyDescent="0.25">
      <c r="A60" s="53" t="s">
        <v>31</v>
      </c>
      <c r="B60" s="54">
        <f t="shared" ref="B60:O60" si="42">SUBTOTAL(9,B53:B59)</f>
        <v>0</v>
      </c>
      <c r="C60" s="54">
        <f t="shared" si="42"/>
        <v>0</v>
      </c>
      <c r="D60" s="54">
        <f t="shared" si="42"/>
        <v>0</v>
      </c>
      <c r="E60" s="54">
        <f t="shared" si="42"/>
        <v>0</v>
      </c>
      <c r="F60" s="54">
        <f t="shared" si="42"/>
        <v>0</v>
      </c>
      <c r="G60" s="54">
        <f t="shared" si="42"/>
        <v>0</v>
      </c>
      <c r="H60" s="54">
        <f t="shared" si="42"/>
        <v>0</v>
      </c>
      <c r="I60" s="54">
        <f t="shared" si="42"/>
        <v>0</v>
      </c>
      <c r="J60" s="54">
        <f t="shared" si="42"/>
        <v>0</v>
      </c>
      <c r="K60" s="54">
        <f t="shared" si="42"/>
        <v>0</v>
      </c>
      <c r="L60" s="55">
        <f t="shared" si="42"/>
        <v>0</v>
      </c>
      <c r="M60" s="54">
        <f t="shared" si="42"/>
        <v>0</v>
      </c>
      <c r="N60" s="54">
        <f t="shared" si="42"/>
        <v>71.75</v>
      </c>
      <c r="O60" s="55">
        <f t="shared" si="42"/>
        <v>71.75</v>
      </c>
      <c r="P60" s="56"/>
      <c r="Q60" s="57">
        <f>SUBTOTAL(9,Q53:Q59)</f>
        <v>71.75</v>
      </c>
      <c r="R60" s="92"/>
      <c r="S60" s="92"/>
      <c r="T60" s="102"/>
      <c r="U60" s="81"/>
      <c r="V60" s="81"/>
      <c r="W60" s="129">
        <f>SUBTOTAL(9,W53:W59)</f>
        <v>0</v>
      </c>
      <c r="X60" s="129">
        <f>SUBTOTAL(9,X53:X59)</f>
        <v>1164.5025000000001</v>
      </c>
      <c r="Y60" s="129"/>
      <c r="Z60" s="129"/>
      <c r="AA60" s="129">
        <f>SUBTOTAL(9,AA53:AA59)</f>
        <v>1164.5025000000001</v>
      </c>
      <c r="AB60" s="129">
        <f t="shared" si="40"/>
        <v>0</v>
      </c>
      <c r="AC60" s="129">
        <f t="shared" si="41"/>
        <v>1164.5025000000001</v>
      </c>
      <c r="AD60" s="130"/>
      <c r="AE60" s="129">
        <f>SUBTOTAL(9,AE53:AE59)</f>
        <v>0</v>
      </c>
    </row>
    <row r="61" spans="1:31" customFormat="1" ht="33" customHeight="1" x14ac:dyDescent="0.25">
      <c r="A61" s="45" t="s">
        <v>42</v>
      </c>
      <c r="B61" s="46" t="s">
        <v>43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48"/>
      <c r="P61" s="46"/>
      <c r="Q61" s="46"/>
      <c r="R61" s="91"/>
      <c r="S61" s="91"/>
      <c r="T61" s="91"/>
      <c r="U61" s="80"/>
      <c r="V61" s="80"/>
      <c r="W61" s="48"/>
      <c r="X61" s="48"/>
      <c r="Y61" s="48"/>
      <c r="Z61" s="48"/>
      <c r="AA61" s="49"/>
      <c r="AB61" s="121"/>
      <c r="AC61" s="121"/>
      <c r="AD61" s="122"/>
      <c r="AE61" s="123"/>
    </row>
    <row r="62" spans="1:31" x14ac:dyDescent="0.25">
      <c r="A62" s="50">
        <v>46125</v>
      </c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51">
        <f t="shared" ref="L62:L68" si="43">SUM(B62:K62)</f>
        <v>0</v>
      </c>
      <c r="M62" s="71"/>
      <c r="N62" s="71">
        <v>10</v>
      </c>
      <c r="O62" s="52">
        <f t="shared" ref="O62:O68" si="44">M62+N62</f>
        <v>10</v>
      </c>
      <c r="P62" s="72">
        <v>16.23</v>
      </c>
      <c r="Q62" s="73">
        <v>10</v>
      </c>
      <c r="R62" s="107"/>
      <c r="S62" s="107"/>
      <c r="T62" s="101"/>
      <c r="U62" s="75"/>
      <c r="V62" s="75"/>
      <c r="W62" s="124">
        <f>SUMPRODUCT(B62:K62,$B$5:K$5)</f>
        <v>0</v>
      </c>
      <c r="X62" s="124">
        <f t="shared" ref="X62:X68" si="45">N62*P62</f>
        <v>162.30000000000001</v>
      </c>
      <c r="Y62" s="124">
        <v>16.23</v>
      </c>
      <c r="Z62" s="124">
        <v>16.23</v>
      </c>
      <c r="AA62" s="124">
        <f t="shared" ref="AA62:AA68" si="46">(M62*Y62)+(N62*Z62)</f>
        <v>162.30000000000001</v>
      </c>
      <c r="AB62" s="125">
        <f t="shared" ref="AB62:AB69" si="47">MAX(AA62-X62-W62,0)</f>
        <v>0</v>
      </c>
      <c r="AC62" s="126">
        <f t="shared" ref="AC62:AC69" si="48">W62+X62+AB62</f>
        <v>162.30000000000001</v>
      </c>
      <c r="AD62" s="127" t="s">
        <v>5</v>
      </c>
      <c r="AE62" s="128"/>
    </row>
    <row r="63" spans="1:31" x14ac:dyDescent="0.25">
      <c r="A63" s="50">
        <v>46126</v>
      </c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51">
        <f t="shared" si="43"/>
        <v>0</v>
      </c>
      <c r="M63" s="71"/>
      <c r="N63" s="71">
        <v>11</v>
      </c>
      <c r="O63" s="52">
        <f t="shared" si="44"/>
        <v>11</v>
      </c>
      <c r="P63" s="72">
        <v>16.23</v>
      </c>
      <c r="Q63" s="73">
        <v>11</v>
      </c>
      <c r="R63" s="107"/>
      <c r="S63" s="107"/>
      <c r="T63" s="101"/>
      <c r="U63" s="75"/>
      <c r="V63" s="75"/>
      <c r="W63" s="124">
        <f>SUMPRODUCT(B63:K63,$B$5:K$5)</f>
        <v>0</v>
      </c>
      <c r="X63" s="124">
        <f t="shared" si="45"/>
        <v>178.53</v>
      </c>
      <c r="Y63" s="124">
        <v>16.23</v>
      </c>
      <c r="Z63" s="124">
        <v>16.23</v>
      </c>
      <c r="AA63" s="124">
        <f t="shared" si="46"/>
        <v>178.53</v>
      </c>
      <c r="AB63" s="125">
        <f t="shared" si="47"/>
        <v>0</v>
      </c>
      <c r="AC63" s="126">
        <f t="shared" si="48"/>
        <v>178.53</v>
      </c>
      <c r="AD63" s="127" t="s">
        <v>5</v>
      </c>
      <c r="AE63" s="128"/>
    </row>
    <row r="64" spans="1:31" x14ac:dyDescent="0.25">
      <c r="A64" s="50">
        <v>46127</v>
      </c>
      <c r="B64" s="69"/>
      <c r="C64" s="70"/>
      <c r="D64" s="70"/>
      <c r="E64" s="70"/>
      <c r="F64" s="70"/>
      <c r="G64" s="70"/>
      <c r="H64" s="70"/>
      <c r="I64" s="70"/>
      <c r="J64" s="70"/>
      <c r="K64" s="70"/>
      <c r="L64" s="51">
        <f t="shared" si="43"/>
        <v>0</v>
      </c>
      <c r="M64" s="71"/>
      <c r="N64" s="71">
        <v>10</v>
      </c>
      <c r="O64" s="52">
        <f t="shared" si="44"/>
        <v>10</v>
      </c>
      <c r="P64" s="72">
        <v>16.23</v>
      </c>
      <c r="Q64" s="73">
        <v>10</v>
      </c>
      <c r="R64" s="107"/>
      <c r="S64" s="107"/>
      <c r="T64" s="101"/>
      <c r="U64" s="75"/>
      <c r="V64" s="75"/>
      <c r="W64" s="124">
        <f>SUMPRODUCT(B64:K64,$B$5:K$5)</f>
        <v>0</v>
      </c>
      <c r="X64" s="124">
        <f t="shared" si="45"/>
        <v>162.30000000000001</v>
      </c>
      <c r="Y64" s="124">
        <v>16.23</v>
      </c>
      <c r="Z64" s="124">
        <v>16.23</v>
      </c>
      <c r="AA64" s="124">
        <f t="shared" si="46"/>
        <v>162.30000000000001</v>
      </c>
      <c r="AB64" s="125">
        <f t="shared" si="47"/>
        <v>0</v>
      </c>
      <c r="AC64" s="126">
        <f t="shared" si="48"/>
        <v>162.30000000000001</v>
      </c>
      <c r="AD64" s="127" t="s">
        <v>5</v>
      </c>
      <c r="AE64" s="128"/>
    </row>
    <row r="65" spans="1:31" x14ac:dyDescent="0.25">
      <c r="A65" s="50">
        <v>46128</v>
      </c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51">
        <f t="shared" si="43"/>
        <v>0</v>
      </c>
      <c r="M65" s="71"/>
      <c r="N65" s="71">
        <v>11</v>
      </c>
      <c r="O65" s="52">
        <f t="shared" si="44"/>
        <v>11</v>
      </c>
      <c r="P65" s="72">
        <v>16.23</v>
      </c>
      <c r="Q65" s="73">
        <v>11</v>
      </c>
      <c r="R65" s="107"/>
      <c r="S65" s="107"/>
      <c r="T65" s="101"/>
      <c r="U65" s="75"/>
      <c r="V65" s="75"/>
      <c r="W65" s="124">
        <f>SUMPRODUCT(B65:K65,$B$5:K$5)</f>
        <v>0</v>
      </c>
      <c r="X65" s="124">
        <f t="shared" si="45"/>
        <v>178.53</v>
      </c>
      <c r="Y65" s="124">
        <v>16.23</v>
      </c>
      <c r="Z65" s="124">
        <v>16.23</v>
      </c>
      <c r="AA65" s="124">
        <f t="shared" si="46"/>
        <v>178.53</v>
      </c>
      <c r="AB65" s="125">
        <f t="shared" si="47"/>
        <v>0</v>
      </c>
      <c r="AC65" s="126">
        <f t="shared" si="48"/>
        <v>178.53</v>
      </c>
      <c r="AD65" s="127" t="s">
        <v>5</v>
      </c>
      <c r="AE65" s="128"/>
    </row>
    <row r="66" spans="1:31" x14ac:dyDescent="0.25">
      <c r="A66" s="50">
        <v>46129</v>
      </c>
      <c r="B66" s="69"/>
      <c r="C66" s="70"/>
      <c r="D66" s="70"/>
      <c r="E66" s="70"/>
      <c r="F66" s="70"/>
      <c r="G66" s="70"/>
      <c r="H66" s="70"/>
      <c r="I66" s="70"/>
      <c r="J66" s="70"/>
      <c r="K66" s="70"/>
      <c r="L66" s="51">
        <f t="shared" si="43"/>
        <v>0</v>
      </c>
      <c r="M66" s="71"/>
      <c r="N66" s="71">
        <v>10.5</v>
      </c>
      <c r="O66" s="52">
        <f t="shared" si="44"/>
        <v>10.5</v>
      </c>
      <c r="P66" s="72">
        <v>16.23</v>
      </c>
      <c r="Q66" s="73">
        <v>10.5</v>
      </c>
      <c r="R66" s="107"/>
      <c r="S66" s="107"/>
      <c r="T66" s="101"/>
      <c r="U66" s="75"/>
      <c r="V66" s="75"/>
      <c r="W66" s="124">
        <f>SUMPRODUCT(B66:K66,$B$5:K$5)</f>
        <v>0</v>
      </c>
      <c r="X66" s="124">
        <f t="shared" si="45"/>
        <v>170.41499999999999</v>
      </c>
      <c r="Y66" s="124">
        <v>16.23</v>
      </c>
      <c r="Z66" s="124">
        <v>16.23</v>
      </c>
      <c r="AA66" s="124">
        <f t="shared" si="46"/>
        <v>170.41499999999999</v>
      </c>
      <c r="AB66" s="125">
        <f t="shared" si="47"/>
        <v>0</v>
      </c>
      <c r="AC66" s="126">
        <f t="shared" si="48"/>
        <v>170.41499999999999</v>
      </c>
      <c r="AD66" s="127" t="s">
        <v>5</v>
      </c>
      <c r="AE66" s="128"/>
    </row>
    <row r="67" spans="1:31" x14ac:dyDescent="0.25">
      <c r="A67" s="50">
        <v>46130</v>
      </c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51">
        <f t="shared" si="43"/>
        <v>0</v>
      </c>
      <c r="M67" s="71"/>
      <c r="N67" s="71">
        <v>8.5</v>
      </c>
      <c r="O67" s="52">
        <f t="shared" si="44"/>
        <v>8.5</v>
      </c>
      <c r="P67" s="72">
        <v>16.23</v>
      </c>
      <c r="Q67" s="73">
        <v>8.5</v>
      </c>
      <c r="R67" s="107"/>
      <c r="S67" s="107"/>
      <c r="T67" s="101"/>
      <c r="U67" s="75"/>
      <c r="V67" s="75"/>
      <c r="W67" s="124">
        <f>SUMPRODUCT(B67:K67,$B$5:K$5)</f>
        <v>0</v>
      </c>
      <c r="X67" s="124">
        <f t="shared" si="45"/>
        <v>137.95500000000001</v>
      </c>
      <c r="Y67" s="124">
        <v>16.23</v>
      </c>
      <c r="Z67" s="124">
        <v>16.23</v>
      </c>
      <c r="AA67" s="124">
        <f t="shared" si="46"/>
        <v>137.95500000000001</v>
      </c>
      <c r="AB67" s="125">
        <f t="shared" si="47"/>
        <v>0</v>
      </c>
      <c r="AC67" s="126">
        <f t="shared" si="48"/>
        <v>137.95500000000001</v>
      </c>
      <c r="AD67" s="127" t="s">
        <v>5</v>
      </c>
      <c r="AE67" s="128"/>
    </row>
    <row r="68" spans="1:31" x14ac:dyDescent="0.25">
      <c r="A68" s="50">
        <v>46131</v>
      </c>
      <c r="B68" s="69"/>
      <c r="C68" s="70"/>
      <c r="D68" s="70"/>
      <c r="E68" s="70"/>
      <c r="F68" s="70"/>
      <c r="G68" s="70"/>
      <c r="H68" s="70"/>
      <c r="I68" s="70"/>
      <c r="J68" s="70"/>
      <c r="K68" s="70"/>
      <c r="L68" s="51">
        <f t="shared" si="43"/>
        <v>0</v>
      </c>
      <c r="M68" s="71"/>
      <c r="N68" s="71">
        <v>10.75</v>
      </c>
      <c r="O68" s="52">
        <f t="shared" si="44"/>
        <v>10.75</v>
      </c>
      <c r="P68" s="72">
        <v>16.23</v>
      </c>
      <c r="Q68" s="73">
        <v>10.75</v>
      </c>
      <c r="R68" s="107"/>
      <c r="S68" s="107"/>
      <c r="T68" s="101"/>
      <c r="U68" s="75"/>
      <c r="V68" s="75"/>
      <c r="W68" s="124">
        <f>SUMPRODUCT(B68:K68,$B$5:K$5)</f>
        <v>0</v>
      </c>
      <c r="X68" s="124">
        <f t="shared" si="45"/>
        <v>174.4725</v>
      </c>
      <c r="Y68" s="124">
        <v>16.23</v>
      </c>
      <c r="Z68" s="124">
        <v>16.23</v>
      </c>
      <c r="AA68" s="124">
        <f t="shared" si="46"/>
        <v>174.4725</v>
      </c>
      <c r="AB68" s="125">
        <f t="shared" si="47"/>
        <v>0</v>
      </c>
      <c r="AC68" s="126">
        <f t="shared" si="48"/>
        <v>174.4725</v>
      </c>
      <c r="AD68" s="127" t="s">
        <v>5</v>
      </c>
      <c r="AE68" s="128"/>
    </row>
    <row r="69" spans="1:31" x14ac:dyDescent="0.25">
      <c r="A69" s="53" t="s">
        <v>31</v>
      </c>
      <c r="B69" s="54">
        <f t="shared" ref="B69:O69" si="49">SUBTOTAL(9,B62:B68)</f>
        <v>0</v>
      </c>
      <c r="C69" s="54">
        <f t="shared" si="49"/>
        <v>0</v>
      </c>
      <c r="D69" s="54">
        <f t="shared" si="49"/>
        <v>0</v>
      </c>
      <c r="E69" s="54">
        <f t="shared" si="49"/>
        <v>0</v>
      </c>
      <c r="F69" s="54">
        <f t="shared" si="49"/>
        <v>0</v>
      </c>
      <c r="G69" s="54">
        <f t="shared" si="49"/>
        <v>0</v>
      </c>
      <c r="H69" s="54">
        <f t="shared" si="49"/>
        <v>0</v>
      </c>
      <c r="I69" s="54">
        <f t="shared" si="49"/>
        <v>0</v>
      </c>
      <c r="J69" s="54">
        <f t="shared" si="49"/>
        <v>0</v>
      </c>
      <c r="K69" s="54">
        <f t="shared" si="49"/>
        <v>0</v>
      </c>
      <c r="L69" s="55">
        <f t="shared" si="49"/>
        <v>0</v>
      </c>
      <c r="M69" s="54">
        <f t="shared" si="49"/>
        <v>0</v>
      </c>
      <c r="N69" s="54">
        <f t="shared" si="49"/>
        <v>71.75</v>
      </c>
      <c r="O69" s="55">
        <f t="shared" si="49"/>
        <v>71.75</v>
      </c>
      <c r="P69" s="56"/>
      <c r="Q69" s="57">
        <f>SUBTOTAL(9,Q62:Q68)</f>
        <v>71.75</v>
      </c>
      <c r="R69" s="92"/>
      <c r="S69" s="92"/>
      <c r="T69" s="102"/>
      <c r="U69" s="81"/>
      <c r="V69" s="81"/>
      <c r="W69" s="129">
        <f>SUBTOTAL(9,W62:W68)</f>
        <v>0</v>
      </c>
      <c r="X69" s="129">
        <f>SUBTOTAL(9,X62:X68)</f>
        <v>1164.5025000000001</v>
      </c>
      <c r="Y69" s="129"/>
      <c r="Z69" s="129"/>
      <c r="AA69" s="129">
        <f>SUBTOTAL(9,AA62:AA68)</f>
        <v>1164.5025000000001</v>
      </c>
      <c r="AB69" s="129">
        <f t="shared" si="47"/>
        <v>0</v>
      </c>
      <c r="AC69" s="129">
        <f t="shared" si="48"/>
        <v>1164.5025000000001</v>
      </c>
      <c r="AD69" s="130"/>
      <c r="AE69" s="129">
        <f>SUBTOTAL(9,AE62:AE68)</f>
        <v>0</v>
      </c>
    </row>
    <row r="70" spans="1:31" customFormat="1" ht="33" customHeight="1" x14ac:dyDescent="0.25">
      <c r="A70" s="45" t="s">
        <v>44</v>
      </c>
      <c r="B70" s="46" t="s">
        <v>45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48"/>
      <c r="P70" s="46"/>
      <c r="Q70" s="46"/>
      <c r="R70" s="91"/>
      <c r="S70" s="91"/>
      <c r="T70" s="91"/>
      <c r="U70" s="80"/>
      <c r="V70" s="80"/>
      <c r="W70" s="48"/>
      <c r="X70" s="48"/>
      <c r="Y70" s="48"/>
      <c r="Z70" s="48"/>
      <c r="AA70" s="49"/>
      <c r="AB70" s="121"/>
      <c r="AC70" s="121"/>
      <c r="AD70" s="122"/>
      <c r="AE70" s="123"/>
    </row>
    <row r="71" spans="1:31" x14ac:dyDescent="0.25">
      <c r="A71" s="50">
        <v>46125</v>
      </c>
      <c r="B71" s="69"/>
      <c r="C71" s="70"/>
      <c r="D71" s="70"/>
      <c r="E71" s="70"/>
      <c r="F71" s="70"/>
      <c r="G71" s="70"/>
      <c r="H71" s="70"/>
      <c r="I71" s="70"/>
      <c r="J71" s="70"/>
      <c r="K71" s="70"/>
      <c r="L71" s="51">
        <f t="shared" ref="L71:L77" si="50">SUM(B71:K71)</f>
        <v>0</v>
      </c>
      <c r="M71" s="71"/>
      <c r="N71" s="71">
        <v>7.5</v>
      </c>
      <c r="O71" s="52">
        <f t="shared" ref="O71:O77" si="51">M71+N71</f>
        <v>7.5</v>
      </c>
      <c r="P71" s="72">
        <v>16.23</v>
      </c>
      <c r="Q71" s="73">
        <v>7.5</v>
      </c>
      <c r="R71" s="107"/>
      <c r="S71" s="107"/>
      <c r="T71" s="101"/>
      <c r="U71" s="75"/>
      <c r="V71" s="75"/>
      <c r="W71" s="124">
        <f>SUMPRODUCT(B71:K71,$B$5:K$5)</f>
        <v>0</v>
      </c>
      <c r="X71" s="124">
        <f t="shared" ref="X71:X77" si="52">N71*P71</f>
        <v>121.72500000000001</v>
      </c>
      <c r="Y71" s="124">
        <v>16.23</v>
      </c>
      <c r="Z71" s="124">
        <v>16.23</v>
      </c>
      <c r="AA71" s="124">
        <f t="shared" ref="AA71:AA77" si="53">(M71*Y71)+(N71*Z71)</f>
        <v>121.72500000000001</v>
      </c>
      <c r="AB71" s="125">
        <f t="shared" ref="AB71:AB78" si="54">MAX(AA71-X71-W71,0)</f>
        <v>0</v>
      </c>
      <c r="AC71" s="126">
        <f t="shared" ref="AC71:AC78" si="55">W71+X71+AB71</f>
        <v>121.72500000000001</v>
      </c>
      <c r="AD71" s="127" t="s">
        <v>5</v>
      </c>
      <c r="AE71" s="128"/>
    </row>
    <row r="72" spans="1:31" x14ac:dyDescent="0.25">
      <c r="A72" s="50">
        <v>46126</v>
      </c>
      <c r="B72" s="69"/>
      <c r="C72" s="70"/>
      <c r="D72" s="70"/>
      <c r="E72" s="70"/>
      <c r="F72" s="70"/>
      <c r="G72" s="70"/>
      <c r="H72" s="70"/>
      <c r="I72" s="70"/>
      <c r="J72" s="70"/>
      <c r="K72" s="70"/>
      <c r="L72" s="51">
        <f t="shared" si="50"/>
        <v>0</v>
      </c>
      <c r="M72" s="71"/>
      <c r="N72" s="71">
        <v>9.5</v>
      </c>
      <c r="O72" s="52">
        <f t="shared" si="51"/>
        <v>9.5</v>
      </c>
      <c r="P72" s="72">
        <v>16.23</v>
      </c>
      <c r="Q72" s="73">
        <v>9.5</v>
      </c>
      <c r="R72" s="107"/>
      <c r="S72" s="107"/>
      <c r="T72" s="101"/>
      <c r="U72" s="75"/>
      <c r="V72" s="75"/>
      <c r="W72" s="124">
        <f>SUMPRODUCT(B72:K72,$B$5:K$5)</f>
        <v>0</v>
      </c>
      <c r="X72" s="124">
        <f t="shared" si="52"/>
        <v>154.185</v>
      </c>
      <c r="Y72" s="124">
        <v>16.23</v>
      </c>
      <c r="Z72" s="124">
        <v>16.23</v>
      </c>
      <c r="AA72" s="124">
        <f t="shared" si="53"/>
        <v>154.185</v>
      </c>
      <c r="AB72" s="125">
        <f t="shared" si="54"/>
        <v>0</v>
      </c>
      <c r="AC72" s="126">
        <f t="shared" si="55"/>
        <v>154.185</v>
      </c>
      <c r="AD72" s="127" t="s">
        <v>5</v>
      </c>
      <c r="AE72" s="128"/>
    </row>
    <row r="73" spans="1:31" x14ac:dyDescent="0.25">
      <c r="A73" s="50">
        <v>46127</v>
      </c>
      <c r="B73" s="69"/>
      <c r="C73" s="70"/>
      <c r="D73" s="70"/>
      <c r="E73" s="70"/>
      <c r="F73" s="70"/>
      <c r="G73" s="70"/>
      <c r="H73" s="70"/>
      <c r="I73" s="70"/>
      <c r="J73" s="70"/>
      <c r="K73" s="70"/>
      <c r="L73" s="51">
        <f t="shared" si="50"/>
        <v>0</v>
      </c>
      <c r="M73" s="71"/>
      <c r="N73" s="71">
        <v>7</v>
      </c>
      <c r="O73" s="52">
        <f t="shared" si="51"/>
        <v>7</v>
      </c>
      <c r="P73" s="72">
        <v>16.23</v>
      </c>
      <c r="Q73" s="73">
        <v>7</v>
      </c>
      <c r="R73" s="107"/>
      <c r="S73" s="107"/>
      <c r="T73" s="101"/>
      <c r="U73" s="75"/>
      <c r="V73" s="75"/>
      <c r="W73" s="124">
        <f>SUMPRODUCT(B73:K73,$B$5:K$5)</f>
        <v>0</v>
      </c>
      <c r="X73" s="124">
        <f t="shared" si="52"/>
        <v>113.61</v>
      </c>
      <c r="Y73" s="124">
        <v>16.23</v>
      </c>
      <c r="Z73" s="124">
        <v>16.23</v>
      </c>
      <c r="AA73" s="124">
        <f t="shared" si="53"/>
        <v>113.61</v>
      </c>
      <c r="AB73" s="125">
        <f t="shared" si="54"/>
        <v>0</v>
      </c>
      <c r="AC73" s="126">
        <f t="shared" si="55"/>
        <v>113.61</v>
      </c>
      <c r="AD73" s="127" t="s">
        <v>5</v>
      </c>
      <c r="AE73" s="128"/>
    </row>
    <row r="74" spans="1:31" x14ac:dyDescent="0.25">
      <c r="A74" s="50">
        <v>46128</v>
      </c>
      <c r="B74" s="69"/>
      <c r="C74" s="70"/>
      <c r="D74" s="70"/>
      <c r="E74" s="70"/>
      <c r="F74" s="70"/>
      <c r="G74" s="70"/>
      <c r="H74" s="70"/>
      <c r="I74" s="70"/>
      <c r="J74" s="70"/>
      <c r="K74" s="70"/>
      <c r="L74" s="51">
        <f t="shared" si="50"/>
        <v>0</v>
      </c>
      <c r="M74" s="71"/>
      <c r="N74" s="71">
        <v>10</v>
      </c>
      <c r="O74" s="52">
        <f t="shared" si="51"/>
        <v>10</v>
      </c>
      <c r="P74" s="72">
        <v>16.23</v>
      </c>
      <c r="Q74" s="73">
        <v>10</v>
      </c>
      <c r="R74" s="107"/>
      <c r="S74" s="107"/>
      <c r="T74" s="101"/>
      <c r="U74" s="75"/>
      <c r="V74" s="75"/>
      <c r="W74" s="124">
        <f>SUMPRODUCT(B74:K74,$B$5:K$5)</f>
        <v>0</v>
      </c>
      <c r="X74" s="124">
        <f t="shared" si="52"/>
        <v>162.30000000000001</v>
      </c>
      <c r="Y74" s="124">
        <v>16.23</v>
      </c>
      <c r="Z74" s="124">
        <v>16.23</v>
      </c>
      <c r="AA74" s="124">
        <f t="shared" si="53"/>
        <v>162.30000000000001</v>
      </c>
      <c r="AB74" s="125">
        <f t="shared" si="54"/>
        <v>0</v>
      </c>
      <c r="AC74" s="126">
        <f t="shared" si="55"/>
        <v>162.30000000000001</v>
      </c>
      <c r="AD74" s="127" t="s">
        <v>5</v>
      </c>
      <c r="AE74" s="128"/>
    </row>
    <row r="75" spans="1:31" x14ac:dyDescent="0.25">
      <c r="A75" s="50">
        <v>46129</v>
      </c>
      <c r="B75" s="69">
        <v>91.6</v>
      </c>
      <c r="C75" s="70"/>
      <c r="D75" s="70"/>
      <c r="E75" s="70"/>
      <c r="F75" s="70"/>
      <c r="G75" s="70"/>
      <c r="H75" s="70"/>
      <c r="I75" s="70"/>
      <c r="J75" s="70"/>
      <c r="K75" s="70"/>
      <c r="L75" s="51">
        <f t="shared" si="50"/>
        <v>91.6</v>
      </c>
      <c r="M75" s="71">
        <v>6.5</v>
      </c>
      <c r="N75" s="71"/>
      <c r="O75" s="52">
        <f t="shared" si="51"/>
        <v>6.5</v>
      </c>
      <c r="P75" s="72">
        <v>16.23</v>
      </c>
      <c r="Q75" s="73">
        <v>6.5</v>
      </c>
      <c r="R75" s="107"/>
      <c r="S75" s="107"/>
      <c r="T75" s="101"/>
      <c r="U75" s="75"/>
      <c r="V75" s="75"/>
      <c r="W75" s="124">
        <f>SUMPRODUCT(B75:K75,$B$5:K$5)</f>
        <v>91.6</v>
      </c>
      <c r="X75" s="124">
        <f t="shared" si="52"/>
        <v>0</v>
      </c>
      <c r="Y75" s="124">
        <v>16.23</v>
      </c>
      <c r="Z75" s="124">
        <v>16.23</v>
      </c>
      <c r="AA75" s="124">
        <f t="shared" si="53"/>
        <v>105.495</v>
      </c>
      <c r="AB75" s="125">
        <f t="shared" si="54"/>
        <v>13.89500000000001</v>
      </c>
      <c r="AC75" s="126">
        <f t="shared" si="55"/>
        <v>105.495</v>
      </c>
      <c r="AD75" s="127" t="s">
        <v>5</v>
      </c>
      <c r="AE75" s="128"/>
    </row>
    <row r="76" spans="1:31" x14ac:dyDescent="0.25">
      <c r="A76" s="50">
        <v>46130</v>
      </c>
      <c r="B76" s="69">
        <v>47.92</v>
      </c>
      <c r="C76" s="70"/>
      <c r="D76" s="70"/>
      <c r="E76" s="70"/>
      <c r="F76" s="70"/>
      <c r="G76" s="70"/>
      <c r="H76" s="70"/>
      <c r="I76" s="70"/>
      <c r="J76" s="70"/>
      <c r="K76" s="70"/>
      <c r="L76" s="51">
        <f t="shared" si="50"/>
        <v>47.92</v>
      </c>
      <c r="M76" s="71">
        <v>3</v>
      </c>
      <c r="N76" s="71"/>
      <c r="O76" s="52">
        <f t="shared" si="51"/>
        <v>3</v>
      </c>
      <c r="P76" s="72">
        <v>16.23</v>
      </c>
      <c r="Q76" s="73">
        <v>3</v>
      </c>
      <c r="R76" s="107"/>
      <c r="S76" s="107"/>
      <c r="T76" s="101"/>
      <c r="U76" s="75"/>
      <c r="V76" s="75"/>
      <c r="W76" s="124">
        <f>SUMPRODUCT(B76:K76,$B$5:K$5)</f>
        <v>47.92</v>
      </c>
      <c r="X76" s="124">
        <f t="shared" si="52"/>
        <v>0</v>
      </c>
      <c r="Y76" s="124">
        <v>16.23</v>
      </c>
      <c r="Z76" s="124">
        <v>16.23</v>
      </c>
      <c r="AA76" s="124">
        <f t="shared" si="53"/>
        <v>48.69</v>
      </c>
      <c r="AB76" s="125">
        <f t="shared" si="54"/>
        <v>0.76999999999999602</v>
      </c>
      <c r="AC76" s="126">
        <f t="shared" si="55"/>
        <v>48.69</v>
      </c>
      <c r="AD76" s="127" t="s">
        <v>5</v>
      </c>
      <c r="AE76" s="128"/>
    </row>
    <row r="77" spans="1:31" x14ac:dyDescent="0.25">
      <c r="A77" s="50">
        <v>46131</v>
      </c>
      <c r="B77" s="69"/>
      <c r="C77" s="70"/>
      <c r="D77" s="70"/>
      <c r="E77" s="70"/>
      <c r="F77" s="70"/>
      <c r="G77" s="70"/>
      <c r="H77" s="70"/>
      <c r="I77" s="70"/>
      <c r="J77" s="70"/>
      <c r="K77" s="70"/>
      <c r="L77" s="51">
        <f t="shared" si="50"/>
        <v>0</v>
      </c>
      <c r="M77" s="71"/>
      <c r="N77" s="71"/>
      <c r="O77" s="52">
        <f t="shared" si="51"/>
        <v>0</v>
      </c>
      <c r="P77" s="72">
        <v>16.23</v>
      </c>
      <c r="Q77" s="73"/>
      <c r="R77" s="107"/>
      <c r="S77" s="107"/>
      <c r="T77" s="101"/>
      <c r="U77" s="75"/>
      <c r="V77" s="75"/>
      <c r="W77" s="124">
        <f>SUMPRODUCT(B77:K77,$B$5:K$5)</f>
        <v>0</v>
      </c>
      <c r="X77" s="124">
        <f t="shared" si="52"/>
        <v>0</v>
      </c>
      <c r="Y77" s="124">
        <v>16.23</v>
      </c>
      <c r="Z77" s="124">
        <v>16.23</v>
      </c>
      <c r="AA77" s="124">
        <f t="shared" si="53"/>
        <v>0</v>
      </c>
      <c r="AB77" s="125">
        <f t="shared" si="54"/>
        <v>0</v>
      </c>
      <c r="AC77" s="126">
        <f t="shared" si="55"/>
        <v>0</v>
      </c>
      <c r="AD77" s="127" t="s">
        <v>5</v>
      </c>
      <c r="AE77" s="128"/>
    </row>
    <row r="78" spans="1:31" x14ac:dyDescent="0.25">
      <c r="A78" s="53" t="s">
        <v>31</v>
      </c>
      <c r="B78" s="54">
        <f t="shared" ref="B78:O78" si="56">SUBTOTAL(9,B71:B77)</f>
        <v>139.51999999999998</v>
      </c>
      <c r="C78" s="54">
        <f t="shared" si="56"/>
        <v>0</v>
      </c>
      <c r="D78" s="54">
        <f t="shared" si="56"/>
        <v>0</v>
      </c>
      <c r="E78" s="54">
        <f t="shared" si="56"/>
        <v>0</v>
      </c>
      <c r="F78" s="54">
        <f t="shared" si="56"/>
        <v>0</v>
      </c>
      <c r="G78" s="54">
        <f t="shared" si="56"/>
        <v>0</v>
      </c>
      <c r="H78" s="54">
        <f t="shared" si="56"/>
        <v>0</v>
      </c>
      <c r="I78" s="54">
        <f t="shared" si="56"/>
        <v>0</v>
      </c>
      <c r="J78" s="54">
        <f t="shared" si="56"/>
        <v>0</v>
      </c>
      <c r="K78" s="54">
        <f t="shared" si="56"/>
        <v>0</v>
      </c>
      <c r="L78" s="55">
        <f t="shared" si="56"/>
        <v>139.51999999999998</v>
      </c>
      <c r="M78" s="54">
        <f t="shared" si="56"/>
        <v>9.5</v>
      </c>
      <c r="N78" s="54">
        <f t="shared" si="56"/>
        <v>34</v>
      </c>
      <c r="O78" s="55">
        <f t="shared" si="56"/>
        <v>43.5</v>
      </c>
      <c r="P78" s="56"/>
      <c r="Q78" s="57">
        <f>SUBTOTAL(9,Q71:Q77)</f>
        <v>43.5</v>
      </c>
      <c r="R78" s="92"/>
      <c r="S78" s="92"/>
      <c r="T78" s="102"/>
      <c r="U78" s="81"/>
      <c r="V78" s="81"/>
      <c r="W78" s="129">
        <f>SUBTOTAL(9,W71:W77)</f>
        <v>139.51999999999998</v>
      </c>
      <c r="X78" s="129">
        <f>SUBTOTAL(9,X71:X77)</f>
        <v>551.82000000000005</v>
      </c>
      <c r="Y78" s="129"/>
      <c r="Z78" s="129"/>
      <c r="AA78" s="129">
        <f>SUBTOTAL(9,AA71:AA77)</f>
        <v>706.00500000000011</v>
      </c>
      <c r="AB78" s="129">
        <f t="shared" si="54"/>
        <v>14.665000000000077</v>
      </c>
      <c r="AC78" s="129">
        <f t="shared" si="55"/>
        <v>706.00500000000011</v>
      </c>
      <c r="AD78" s="130"/>
      <c r="AE78" s="129">
        <f>SUBTOTAL(9,AE71:AE77)</f>
        <v>0</v>
      </c>
    </row>
    <row r="79" spans="1:31" customFormat="1" ht="33" customHeight="1" x14ac:dyDescent="0.25">
      <c r="A79" s="45" t="s">
        <v>46</v>
      </c>
      <c r="B79" s="46" t="s">
        <v>47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  <c r="O79" s="48"/>
      <c r="P79" s="46"/>
      <c r="Q79" s="46"/>
      <c r="R79" s="91"/>
      <c r="S79" s="91"/>
      <c r="T79" s="91"/>
      <c r="U79" s="80"/>
      <c r="V79" s="80"/>
      <c r="W79" s="48"/>
      <c r="X79" s="48"/>
      <c r="Y79" s="48"/>
      <c r="Z79" s="48"/>
      <c r="AA79" s="49"/>
      <c r="AB79" s="121"/>
      <c r="AC79" s="121"/>
      <c r="AD79" s="122"/>
      <c r="AE79" s="123"/>
    </row>
    <row r="80" spans="1:31" x14ac:dyDescent="0.25">
      <c r="A80" s="50">
        <v>46125</v>
      </c>
      <c r="B80" s="69"/>
      <c r="C80" s="70"/>
      <c r="D80" s="70"/>
      <c r="E80" s="70"/>
      <c r="F80" s="70"/>
      <c r="G80" s="70"/>
      <c r="H80" s="70"/>
      <c r="I80" s="70"/>
      <c r="J80" s="70"/>
      <c r="K80" s="70"/>
      <c r="L80" s="51">
        <f t="shared" ref="L80:L86" si="57">SUM(B80:K80)</f>
        <v>0</v>
      </c>
      <c r="M80" s="71"/>
      <c r="N80" s="71">
        <v>11.5</v>
      </c>
      <c r="O80" s="52">
        <f t="shared" ref="O80:O86" si="58">M80+N80</f>
        <v>11.5</v>
      </c>
      <c r="P80" s="72">
        <v>21.62</v>
      </c>
      <c r="Q80" s="73">
        <v>11.5</v>
      </c>
      <c r="R80" s="107"/>
      <c r="S80" s="107"/>
      <c r="T80" s="101"/>
      <c r="U80" s="75"/>
      <c r="V80" s="75"/>
      <c r="W80" s="124">
        <f>SUMPRODUCT(B80:K80,$B$5:K$5)</f>
        <v>0</v>
      </c>
      <c r="X80" s="124">
        <f t="shared" ref="X80:X86" si="59">N80*P80</f>
        <v>248.63000000000002</v>
      </c>
      <c r="Y80" s="124">
        <v>21.62</v>
      </c>
      <c r="Z80" s="124">
        <v>21.62</v>
      </c>
      <c r="AA80" s="124">
        <f t="shared" ref="AA80:AA86" si="60">(M80*Y80)+(N80*Z80)</f>
        <v>248.63000000000002</v>
      </c>
      <c r="AB80" s="125">
        <f t="shared" ref="AB80:AB87" si="61">MAX(AA80-X80-W80,0)</f>
        <v>0</v>
      </c>
      <c r="AC80" s="126">
        <f t="shared" ref="AC80:AC87" si="62">W80+X80+AB80</f>
        <v>248.63000000000002</v>
      </c>
      <c r="AD80" s="127" t="s">
        <v>5</v>
      </c>
      <c r="AE80" s="128"/>
    </row>
    <row r="81" spans="1:31" x14ac:dyDescent="0.25">
      <c r="A81" s="50">
        <v>46126</v>
      </c>
      <c r="B81" s="69"/>
      <c r="C81" s="70"/>
      <c r="D81" s="70"/>
      <c r="E81" s="70"/>
      <c r="F81" s="70"/>
      <c r="G81" s="70"/>
      <c r="H81" s="70"/>
      <c r="I81" s="70"/>
      <c r="J81" s="70"/>
      <c r="K81" s="70"/>
      <c r="L81" s="51">
        <f t="shared" si="57"/>
        <v>0</v>
      </c>
      <c r="M81" s="71"/>
      <c r="N81" s="71">
        <v>11.5</v>
      </c>
      <c r="O81" s="52">
        <f t="shared" si="58"/>
        <v>11.5</v>
      </c>
      <c r="P81" s="72">
        <v>21.62</v>
      </c>
      <c r="Q81" s="73">
        <v>11.5</v>
      </c>
      <c r="R81" s="107"/>
      <c r="S81" s="107"/>
      <c r="T81" s="101"/>
      <c r="U81" s="75"/>
      <c r="V81" s="75"/>
      <c r="W81" s="124">
        <f>SUMPRODUCT(B81:K81,$B$5:K$5)</f>
        <v>0</v>
      </c>
      <c r="X81" s="124">
        <f t="shared" si="59"/>
        <v>248.63000000000002</v>
      </c>
      <c r="Y81" s="124">
        <v>21.62</v>
      </c>
      <c r="Z81" s="124">
        <v>21.62</v>
      </c>
      <c r="AA81" s="124">
        <f t="shared" si="60"/>
        <v>248.63000000000002</v>
      </c>
      <c r="AB81" s="125">
        <f t="shared" si="61"/>
        <v>0</v>
      </c>
      <c r="AC81" s="126">
        <f t="shared" si="62"/>
        <v>248.63000000000002</v>
      </c>
      <c r="AD81" s="127" t="s">
        <v>5</v>
      </c>
      <c r="AE81" s="128"/>
    </row>
    <row r="82" spans="1:31" x14ac:dyDescent="0.25">
      <c r="A82" s="50">
        <v>46127</v>
      </c>
      <c r="B82" s="69"/>
      <c r="C82" s="70"/>
      <c r="D82" s="70"/>
      <c r="E82" s="70"/>
      <c r="F82" s="70"/>
      <c r="G82" s="70"/>
      <c r="H82" s="70"/>
      <c r="I82" s="70"/>
      <c r="J82" s="70"/>
      <c r="K82" s="70"/>
      <c r="L82" s="51">
        <f t="shared" si="57"/>
        <v>0</v>
      </c>
      <c r="M82" s="71"/>
      <c r="N82" s="71">
        <v>11</v>
      </c>
      <c r="O82" s="52">
        <f t="shared" si="58"/>
        <v>11</v>
      </c>
      <c r="P82" s="72">
        <v>21.62</v>
      </c>
      <c r="Q82" s="73">
        <v>11</v>
      </c>
      <c r="R82" s="107"/>
      <c r="S82" s="107"/>
      <c r="T82" s="101"/>
      <c r="U82" s="75"/>
      <c r="V82" s="75"/>
      <c r="W82" s="124">
        <f>SUMPRODUCT(B82:K82,$B$5:K$5)</f>
        <v>0</v>
      </c>
      <c r="X82" s="124">
        <f t="shared" si="59"/>
        <v>237.82000000000002</v>
      </c>
      <c r="Y82" s="124">
        <v>21.62</v>
      </c>
      <c r="Z82" s="124">
        <v>21.62</v>
      </c>
      <c r="AA82" s="124">
        <f t="shared" si="60"/>
        <v>237.82000000000002</v>
      </c>
      <c r="AB82" s="125">
        <f t="shared" si="61"/>
        <v>0</v>
      </c>
      <c r="AC82" s="126">
        <f t="shared" si="62"/>
        <v>237.82000000000002</v>
      </c>
      <c r="AD82" s="127" t="s">
        <v>5</v>
      </c>
      <c r="AE82" s="128"/>
    </row>
    <row r="83" spans="1:31" x14ac:dyDescent="0.25">
      <c r="A83" s="50">
        <v>46128</v>
      </c>
      <c r="B83" s="69"/>
      <c r="C83" s="70"/>
      <c r="D83" s="70"/>
      <c r="E83" s="70"/>
      <c r="F83" s="70"/>
      <c r="G83" s="70"/>
      <c r="H83" s="70"/>
      <c r="I83" s="70"/>
      <c r="J83" s="70"/>
      <c r="K83" s="70"/>
      <c r="L83" s="51">
        <f t="shared" si="57"/>
        <v>0</v>
      </c>
      <c r="M83" s="71"/>
      <c r="N83" s="71">
        <v>11.5</v>
      </c>
      <c r="O83" s="52">
        <f t="shared" si="58"/>
        <v>11.5</v>
      </c>
      <c r="P83" s="72">
        <v>21.62</v>
      </c>
      <c r="Q83" s="73">
        <v>11.5</v>
      </c>
      <c r="R83" s="107"/>
      <c r="S83" s="107"/>
      <c r="T83" s="101"/>
      <c r="U83" s="75"/>
      <c r="V83" s="75"/>
      <c r="W83" s="124">
        <f>SUMPRODUCT(B83:K83,$B$5:K$5)</f>
        <v>0</v>
      </c>
      <c r="X83" s="124">
        <f t="shared" si="59"/>
        <v>248.63000000000002</v>
      </c>
      <c r="Y83" s="124">
        <v>21.62</v>
      </c>
      <c r="Z83" s="124">
        <v>21.62</v>
      </c>
      <c r="AA83" s="124">
        <f t="shared" si="60"/>
        <v>248.63000000000002</v>
      </c>
      <c r="AB83" s="125">
        <f t="shared" si="61"/>
        <v>0</v>
      </c>
      <c r="AC83" s="126">
        <f t="shared" si="62"/>
        <v>248.63000000000002</v>
      </c>
      <c r="AD83" s="127" t="s">
        <v>5</v>
      </c>
      <c r="AE83" s="128"/>
    </row>
    <row r="84" spans="1:31" x14ac:dyDescent="0.25">
      <c r="A84" s="50">
        <v>46129</v>
      </c>
      <c r="B84" s="69"/>
      <c r="C84" s="70"/>
      <c r="D84" s="70"/>
      <c r="E84" s="70"/>
      <c r="F84" s="70"/>
      <c r="G84" s="70"/>
      <c r="H84" s="70"/>
      <c r="I84" s="70"/>
      <c r="J84" s="70"/>
      <c r="K84" s="70"/>
      <c r="L84" s="51">
        <f t="shared" si="57"/>
        <v>0</v>
      </c>
      <c r="M84" s="71"/>
      <c r="N84" s="71">
        <v>14.5</v>
      </c>
      <c r="O84" s="52">
        <f t="shared" si="58"/>
        <v>14.5</v>
      </c>
      <c r="P84" s="72">
        <v>21.62</v>
      </c>
      <c r="Q84" s="73">
        <v>14.5</v>
      </c>
      <c r="R84" s="107"/>
      <c r="S84" s="107"/>
      <c r="T84" s="101"/>
      <c r="U84" s="75"/>
      <c r="V84" s="75"/>
      <c r="W84" s="124">
        <f>SUMPRODUCT(B84:K84,$B$5:K$5)</f>
        <v>0</v>
      </c>
      <c r="X84" s="124">
        <f t="shared" si="59"/>
        <v>313.49</v>
      </c>
      <c r="Y84" s="124">
        <v>21.62</v>
      </c>
      <c r="Z84" s="124">
        <v>21.62</v>
      </c>
      <c r="AA84" s="124">
        <f t="shared" si="60"/>
        <v>313.49</v>
      </c>
      <c r="AB84" s="125">
        <f t="shared" si="61"/>
        <v>0</v>
      </c>
      <c r="AC84" s="126">
        <f t="shared" si="62"/>
        <v>313.49</v>
      </c>
      <c r="AD84" s="127" t="s">
        <v>5</v>
      </c>
      <c r="AE84" s="128"/>
    </row>
    <row r="85" spans="1:31" x14ac:dyDescent="0.25">
      <c r="A85" s="50">
        <v>46130</v>
      </c>
      <c r="B85" s="69"/>
      <c r="C85" s="70"/>
      <c r="D85" s="70"/>
      <c r="E85" s="70"/>
      <c r="F85" s="70"/>
      <c r="G85" s="70"/>
      <c r="H85" s="70"/>
      <c r="I85" s="70"/>
      <c r="J85" s="70"/>
      <c r="K85" s="70"/>
      <c r="L85" s="51">
        <f t="shared" si="57"/>
        <v>0</v>
      </c>
      <c r="M85" s="71"/>
      <c r="N85" s="71">
        <v>10</v>
      </c>
      <c r="O85" s="52">
        <f t="shared" si="58"/>
        <v>10</v>
      </c>
      <c r="P85" s="72">
        <v>21.62</v>
      </c>
      <c r="Q85" s="73">
        <v>10</v>
      </c>
      <c r="R85" s="107"/>
      <c r="S85" s="107"/>
      <c r="T85" s="101"/>
      <c r="U85" s="75"/>
      <c r="V85" s="75"/>
      <c r="W85" s="124">
        <f>SUMPRODUCT(B85:K85,$B$5:K$5)</f>
        <v>0</v>
      </c>
      <c r="X85" s="124">
        <f t="shared" si="59"/>
        <v>216.20000000000002</v>
      </c>
      <c r="Y85" s="124">
        <v>21.62</v>
      </c>
      <c r="Z85" s="124">
        <v>21.62</v>
      </c>
      <c r="AA85" s="124">
        <f t="shared" si="60"/>
        <v>216.20000000000002</v>
      </c>
      <c r="AB85" s="125">
        <f t="shared" si="61"/>
        <v>0</v>
      </c>
      <c r="AC85" s="126">
        <f t="shared" si="62"/>
        <v>216.20000000000002</v>
      </c>
      <c r="AD85" s="127" t="s">
        <v>5</v>
      </c>
      <c r="AE85" s="128"/>
    </row>
    <row r="86" spans="1:31" x14ac:dyDescent="0.25">
      <c r="A86" s="50">
        <v>46131</v>
      </c>
      <c r="B86" s="69"/>
      <c r="C86" s="70"/>
      <c r="D86" s="70"/>
      <c r="E86" s="70"/>
      <c r="F86" s="70"/>
      <c r="G86" s="70"/>
      <c r="H86" s="70"/>
      <c r="I86" s="70"/>
      <c r="J86" s="70"/>
      <c r="K86" s="70"/>
      <c r="L86" s="51">
        <f t="shared" si="57"/>
        <v>0</v>
      </c>
      <c r="M86" s="71"/>
      <c r="N86" s="71">
        <v>11</v>
      </c>
      <c r="O86" s="52">
        <f t="shared" si="58"/>
        <v>11</v>
      </c>
      <c r="P86" s="72">
        <v>21.62</v>
      </c>
      <c r="Q86" s="73">
        <v>11</v>
      </c>
      <c r="R86" s="107"/>
      <c r="S86" s="107"/>
      <c r="T86" s="101"/>
      <c r="U86" s="75"/>
      <c r="V86" s="75"/>
      <c r="W86" s="124">
        <f>SUMPRODUCT(B86:K86,$B$5:K$5)</f>
        <v>0</v>
      </c>
      <c r="X86" s="124">
        <f t="shared" si="59"/>
        <v>237.82000000000002</v>
      </c>
      <c r="Y86" s="124">
        <v>21.62</v>
      </c>
      <c r="Z86" s="124">
        <v>21.62</v>
      </c>
      <c r="AA86" s="124">
        <f t="shared" si="60"/>
        <v>237.82000000000002</v>
      </c>
      <c r="AB86" s="125">
        <f t="shared" si="61"/>
        <v>0</v>
      </c>
      <c r="AC86" s="126">
        <f t="shared" si="62"/>
        <v>237.82000000000002</v>
      </c>
      <c r="AD86" s="127" t="s">
        <v>5</v>
      </c>
      <c r="AE86" s="128"/>
    </row>
    <row r="87" spans="1:31" x14ac:dyDescent="0.25">
      <c r="A87" s="53" t="s">
        <v>31</v>
      </c>
      <c r="B87" s="54">
        <f t="shared" ref="B87:O87" si="63">SUBTOTAL(9,B80:B86)</f>
        <v>0</v>
      </c>
      <c r="C87" s="54">
        <f t="shared" si="63"/>
        <v>0</v>
      </c>
      <c r="D87" s="54">
        <f t="shared" si="63"/>
        <v>0</v>
      </c>
      <c r="E87" s="54">
        <f t="shared" si="63"/>
        <v>0</v>
      </c>
      <c r="F87" s="54">
        <f t="shared" si="63"/>
        <v>0</v>
      </c>
      <c r="G87" s="54">
        <f t="shared" si="63"/>
        <v>0</v>
      </c>
      <c r="H87" s="54">
        <f t="shared" si="63"/>
        <v>0</v>
      </c>
      <c r="I87" s="54">
        <f t="shared" si="63"/>
        <v>0</v>
      </c>
      <c r="J87" s="54">
        <f t="shared" si="63"/>
        <v>0</v>
      </c>
      <c r="K87" s="54">
        <f t="shared" si="63"/>
        <v>0</v>
      </c>
      <c r="L87" s="55">
        <f t="shared" si="63"/>
        <v>0</v>
      </c>
      <c r="M87" s="54">
        <f t="shared" si="63"/>
        <v>0</v>
      </c>
      <c r="N87" s="54">
        <f t="shared" si="63"/>
        <v>81</v>
      </c>
      <c r="O87" s="55">
        <f t="shared" si="63"/>
        <v>81</v>
      </c>
      <c r="P87" s="56"/>
      <c r="Q87" s="57">
        <f>SUBTOTAL(9,Q80:Q86)</f>
        <v>81</v>
      </c>
      <c r="R87" s="92"/>
      <c r="S87" s="92"/>
      <c r="T87" s="102"/>
      <c r="U87" s="81"/>
      <c r="V87" s="81"/>
      <c r="W87" s="129">
        <f>SUBTOTAL(9,W80:W86)</f>
        <v>0</v>
      </c>
      <c r="X87" s="129">
        <f>SUBTOTAL(9,X80:X86)</f>
        <v>1751.22</v>
      </c>
      <c r="Y87" s="129"/>
      <c r="Z87" s="129"/>
      <c r="AA87" s="129">
        <f>SUBTOTAL(9,AA80:AA86)</f>
        <v>1751.22</v>
      </c>
      <c r="AB87" s="129">
        <f t="shared" si="61"/>
        <v>0</v>
      </c>
      <c r="AC87" s="129">
        <f t="shared" si="62"/>
        <v>1751.22</v>
      </c>
      <c r="AD87" s="130"/>
      <c r="AE87" s="129">
        <f>SUBTOTAL(9,AE80:AE86)</f>
        <v>0</v>
      </c>
    </row>
    <row r="88" spans="1:31" customFormat="1" ht="33" customHeight="1" x14ac:dyDescent="0.25">
      <c r="A88" s="45" t="s">
        <v>48</v>
      </c>
      <c r="B88" s="46" t="s">
        <v>49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7"/>
      <c r="O88" s="48"/>
      <c r="P88" s="46"/>
      <c r="Q88" s="46"/>
      <c r="R88" s="91"/>
      <c r="S88" s="91"/>
      <c r="T88" s="91"/>
      <c r="U88" s="80"/>
      <c r="V88" s="80"/>
      <c r="W88" s="48"/>
      <c r="X88" s="48"/>
      <c r="Y88" s="48"/>
      <c r="Z88" s="48"/>
      <c r="AA88" s="49"/>
      <c r="AB88" s="121"/>
      <c r="AC88" s="121"/>
      <c r="AD88" s="122"/>
      <c r="AE88" s="123"/>
    </row>
    <row r="89" spans="1:31" x14ac:dyDescent="0.25">
      <c r="A89" s="50">
        <v>46125</v>
      </c>
      <c r="B89" s="69"/>
      <c r="C89" s="70"/>
      <c r="D89" s="70"/>
      <c r="E89" s="70"/>
      <c r="F89" s="70"/>
      <c r="G89" s="70"/>
      <c r="H89" s="70"/>
      <c r="I89" s="70"/>
      <c r="J89" s="70"/>
      <c r="K89" s="70"/>
      <c r="L89" s="51">
        <f t="shared" ref="L89:L95" si="64">SUM(B89:K89)</f>
        <v>0</v>
      </c>
      <c r="M89" s="71"/>
      <c r="N89" s="71">
        <v>10</v>
      </c>
      <c r="O89" s="52">
        <f t="shared" ref="O89:O95" si="65">M89+N89</f>
        <v>10</v>
      </c>
      <c r="P89" s="72">
        <v>16.23</v>
      </c>
      <c r="Q89" s="73">
        <v>10</v>
      </c>
      <c r="R89" s="107"/>
      <c r="S89" s="107"/>
      <c r="T89" s="101"/>
      <c r="U89" s="75"/>
      <c r="V89" s="75"/>
      <c r="W89" s="124">
        <f>SUMPRODUCT(B89:K89,$B$5:K$5)</f>
        <v>0</v>
      </c>
      <c r="X89" s="124">
        <f t="shared" ref="X89:X95" si="66">N89*P89</f>
        <v>162.30000000000001</v>
      </c>
      <c r="Y89" s="124">
        <v>16.23</v>
      </c>
      <c r="Z89" s="124">
        <v>16.23</v>
      </c>
      <c r="AA89" s="124">
        <f t="shared" ref="AA89:AA95" si="67">(M89*Y89)+(N89*Z89)</f>
        <v>162.30000000000001</v>
      </c>
      <c r="AB89" s="125">
        <f t="shared" ref="AB89:AB96" si="68">MAX(AA89-X89-W89,0)</f>
        <v>0</v>
      </c>
      <c r="AC89" s="126">
        <f t="shared" ref="AC89:AC96" si="69">W89+X89+AB89</f>
        <v>162.30000000000001</v>
      </c>
      <c r="AD89" s="127" t="s">
        <v>5</v>
      </c>
      <c r="AE89" s="128"/>
    </row>
    <row r="90" spans="1:31" x14ac:dyDescent="0.25">
      <c r="A90" s="50">
        <v>46126</v>
      </c>
      <c r="B90" s="69"/>
      <c r="C90" s="70"/>
      <c r="D90" s="70"/>
      <c r="E90" s="70"/>
      <c r="F90" s="70"/>
      <c r="G90" s="70"/>
      <c r="H90" s="70"/>
      <c r="I90" s="70"/>
      <c r="J90" s="70"/>
      <c r="K90" s="70"/>
      <c r="L90" s="51">
        <f t="shared" si="64"/>
        <v>0</v>
      </c>
      <c r="M90" s="71"/>
      <c r="N90" s="71">
        <v>11</v>
      </c>
      <c r="O90" s="52">
        <f t="shared" si="65"/>
        <v>11</v>
      </c>
      <c r="P90" s="72">
        <v>16.23</v>
      </c>
      <c r="Q90" s="73">
        <v>11</v>
      </c>
      <c r="R90" s="107"/>
      <c r="S90" s="107"/>
      <c r="T90" s="101"/>
      <c r="U90" s="75"/>
      <c r="V90" s="75"/>
      <c r="W90" s="124">
        <f>SUMPRODUCT(B90:K90,$B$5:K$5)</f>
        <v>0</v>
      </c>
      <c r="X90" s="124">
        <f t="shared" si="66"/>
        <v>178.53</v>
      </c>
      <c r="Y90" s="124">
        <v>16.23</v>
      </c>
      <c r="Z90" s="124">
        <v>16.23</v>
      </c>
      <c r="AA90" s="124">
        <f t="shared" si="67"/>
        <v>178.53</v>
      </c>
      <c r="AB90" s="125">
        <f t="shared" si="68"/>
        <v>0</v>
      </c>
      <c r="AC90" s="126">
        <f t="shared" si="69"/>
        <v>178.53</v>
      </c>
      <c r="AD90" s="127" t="s">
        <v>5</v>
      </c>
      <c r="AE90" s="128"/>
    </row>
    <row r="91" spans="1:31" x14ac:dyDescent="0.25">
      <c r="A91" s="50">
        <v>46127</v>
      </c>
      <c r="B91" s="69"/>
      <c r="C91" s="70"/>
      <c r="D91" s="70"/>
      <c r="E91" s="70"/>
      <c r="F91" s="70"/>
      <c r="G91" s="70"/>
      <c r="H91" s="70"/>
      <c r="I91" s="70"/>
      <c r="J91" s="70"/>
      <c r="K91" s="70"/>
      <c r="L91" s="51">
        <f t="shared" si="64"/>
        <v>0</v>
      </c>
      <c r="M91" s="71"/>
      <c r="N91" s="71">
        <v>10</v>
      </c>
      <c r="O91" s="52">
        <f t="shared" si="65"/>
        <v>10</v>
      </c>
      <c r="P91" s="72">
        <v>16.23</v>
      </c>
      <c r="Q91" s="73">
        <v>10</v>
      </c>
      <c r="R91" s="107"/>
      <c r="S91" s="107"/>
      <c r="T91" s="101"/>
      <c r="U91" s="75"/>
      <c r="V91" s="75"/>
      <c r="W91" s="124">
        <f>SUMPRODUCT(B91:K91,$B$5:K$5)</f>
        <v>0</v>
      </c>
      <c r="X91" s="124">
        <f t="shared" si="66"/>
        <v>162.30000000000001</v>
      </c>
      <c r="Y91" s="124">
        <v>16.23</v>
      </c>
      <c r="Z91" s="124">
        <v>16.23</v>
      </c>
      <c r="AA91" s="124">
        <f t="shared" si="67"/>
        <v>162.30000000000001</v>
      </c>
      <c r="AB91" s="125">
        <f t="shared" si="68"/>
        <v>0</v>
      </c>
      <c r="AC91" s="126">
        <f t="shared" si="69"/>
        <v>162.30000000000001</v>
      </c>
      <c r="AD91" s="127" t="s">
        <v>5</v>
      </c>
      <c r="AE91" s="128"/>
    </row>
    <row r="92" spans="1:31" x14ac:dyDescent="0.25">
      <c r="A92" s="50">
        <v>46128</v>
      </c>
      <c r="B92" s="69"/>
      <c r="C92" s="70"/>
      <c r="D92" s="70"/>
      <c r="E92" s="70"/>
      <c r="F92" s="70"/>
      <c r="G92" s="70"/>
      <c r="H92" s="70"/>
      <c r="I92" s="70"/>
      <c r="J92" s="70"/>
      <c r="K92" s="70"/>
      <c r="L92" s="51">
        <f t="shared" si="64"/>
        <v>0</v>
      </c>
      <c r="M92" s="71"/>
      <c r="N92" s="71">
        <v>11</v>
      </c>
      <c r="O92" s="52">
        <f t="shared" si="65"/>
        <v>11</v>
      </c>
      <c r="P92" s="72">
        <v>16.23</v>
      </c>
      <c r="Q92" s="73">
        <v>11</v>
      </c>
      <c r="R92" s="107"/>
      <c r="S92" s="107"/>
      <c r="T92" s="101"/>
      <c r="U92" s="75"/>
      <c r="V92" s="75"/>
      <c r="W92" s="124">
        <f>SUMPRODUCT(B92:K92,$B$5:K$5)</f>
        <v>0</v>
      </c>
      <c r="X92" s="124">
        <f t="shared" si="66"/>
        <v>178.53</v>
      </c>
      <c r="Y92" s="124">
        <v>16.23</v>
      </c>
      <c r="Z92" s="124">
        <v>16.23</v>
      </c>
      <c r="AA92" s="124">
        <f t="shared" si="67"/>
        <v>178.53</v>
      </c>
      <c r="AB92" s="125">
        <f t="shared" si="68"/>
        <v>0</v>
      </c>
      <c r="AC92" s="126">
        <f t="shared" si="69"/>
        <v>178.53</v>
      </c>
      <c r="AD92" s="127" t="s">
        <v>5</v>
      </c>
      <c r="AE92" s="128"/>
    </row>
    <row r="93" spans="1:31" x14ac:dyDescent="0.25">
      <c r="A93" s="50">
        <v>46129</v>
      </c>
      <c r="B93" s="69"/>
      <c r="C93" s="70"/>
      <c r="D93" s="70"/>
      <c r="E93" s="70"/>
      <c r="F93" s="70"/>
      <c r="G93" s="70"/>
      <c r="H93" s="70"/>
      <c r="I93" s="70"/>
      <c r="J93" s="70"/>
      <c r="K93" s="70"/>
      <c r="L93" s="51">
        <f t="shared" si="64"/>
        <v>0</v>
      </c>
      <c r="M93" s="71"/>
      <c r="N93" s="71">
        <v>10.5</v>
      </c>
      <c r="O93" s="52">
        <f t="shared" si="65"/>
        <v>10.5</v>
      </c>
      <c r="P93" s="72">
        <v>16.23</v>
      </c>
      <c r="Q93" s="73">
        <v>10.5</v>
      </c>
      <c r="R93" s="107"/>
      <c r="S93" s="107"/>
      <c r="T93" s="101"/>
      <c r="U93" s="75"/>
      <c r="V93" s="75"/>
      <c r="W93" s="124">
        <f>SUMPRODUCT(B93:K93,$B$5:K$5)</f>
        <v>0</v>
      </c>
      <c r="X93" s="124">
        <f t="shared" si="66"/>
        <v>170.41499999999999</v>
      </c>
      <c r="Y93" s="124">
        <v>16.23</v>
      </c>
      <c r="Z93" s="124">
        <v>16.23</v>
      </c>
      <c r="AA93" s="124">
        <f t="shared" si="67"/>
        <v>170.41499999999999</v>
      </c>
      <c r="AB93" s="125">
        <f t="shared" si="68"/>
        <v>0</v>
      </c>
      <c r="AC93" s="126">
        <f t="shared" si="69"/>
        <v>170.41499999999999</v>
      </c>
      <c r="AD93" s="127" t="s">
        <v>5</v>
      </c>
      <c r="AE93" s="128"/>
    </row>
    <row r="94" spans="1:31" x14ac:dyDescent="0.25">
      <c r="A94" s="50">
        <v>46130</v>
      </c>
      <c r="B94" s="69"/>
      <c r="C94" s="70"/>
      <c r="D94" s="70"/>
      <c r="E94" s="70"/>
      <c r="F94" s="70"/>
      <c r="G94" s="70"/>
      <c r="H94" s="70"/>
      <c r="I94" s="70"/>
      <c r="J94" s="70"/>
      <c r="K94" s="70"/>
      <c r="L94" s="51">
        <f t="shared" si="64"/>
        <v>0</v>
      </c>
      <c r="M94" s="71"/>
      <c r="N94" s="71">
        <v>8.5</v>
      </c>
      <c r="O94" s="52">
        <f t="shared" si="65"/>
        <v>8.5</v>
      </c>
      <c r="P94" s="72">
        <v>16.23</v>
      </c>
      <c r="Q94" s="73">
        <v>8.5</v>
      </c>
      <c r="R94" s="107"/>
      <c r="S94" s="107"/>
      <c r="T94" s="101"/>
      <c r="U94" s="75"/>
      <c r="V94" s="75"/>
      <c r="W94" s="124">
        <f>SUMPRODUCT(B94:K94,$B$5:K$5)</f>
        <v>0</v>
      </c>
      <c r="X94" s="124">
        <f t="shared" si="66"/>
        <v>137.95500000000001</v>
      </c>
      <c r="Y94" s="124">
        <v>16.23</v>
      </c>
      <c r="Z94" s="124">
        <v>16.23</v>
      </c>
      <c r="AA94" s="124">
        <f t="shared" si="67"/>
        <v>137.95500000000001</v>
      </c>
      <c r="AB94" s="125">
        <f t="shared" si="68"/>
        <v>0</v>
      </c>
      <c r="AC94" s="126">
        <f t="shared" si="69"/>
        <v>137.95500000000001</v>
      </c>
      <c r="AD94" s="127" t="s">
        <v>5</v>
      </c>
      <c r="AE94" s="128"/>
    </row>
    <row r="95" spans="1:31" x14ac:dyDescent="0.25">
      <c r="A95" s="50">
        <v>46131</v>
      </c>
      <c r="B95" s="69"/>
      <c r="C95" s="70"/>
      <c r="D95" s="70"/>
      <c r="E95" s="70"/>
      <c r="F95" s="70"/>
      <c r="G95" s="70"/>
      <c r="H95" s="70"/>
      <c r="I95" s="70"/>
      <c r="J95" s="70"/>
      <c r="K95" s="70"/>
      <c r="L95" s="51">
        <f t="shared" si="64"/>
        <v>0</v>
      </c>
      <c r="M95" s="71"/>
      <c r="N95" s="71">
        <v>10.75</v>
      </c>
      <c r="O95" s="52">
        <f t="shared" si="65"/>
        <v>10.75</v>
      </c>
      <c r="P95" s="72">
        <v>16.23</v>
      </c>
      <c r="Q95" s="73">
        <v>10.75</v>
      </c>
      <c r="R95" s="107"/>
      <c r="S95" s="107"/>
      <c r="T95" s="101"/>
      <c r="U95" s="75"/>
      <c r="V95" s="75"/>
      <c r="W95" s="124">
        <f>SUMPRODUCT(B95:K95,$B$5:K$5)</f>
        <v>0</v>
      </c>
      <c r="X95" s="124">
        <f t="shared" si="66"/>
        <v>174.4725</v>
      </c>
      <c r="Y95" s="124">
        <v>16.23</v>
      </c>
      <c r="Z95" s="124">
        <v>16.23</v>
      </c>
      <c r="AA95" s="124">
        <f t="shared" si="67"/>
        <v>174.4725</v>
      </c>
      <c r="AB95" s="125">
        <f t="shared" si="68"/>
        <v>0</v>
      </c>
      <c r="AC95" s="126">
        <f t="shared" si="69"/>
        <v>174.4725</v>
      </c>
      <c r="AD95" s="127" t="s">
        <v>5</v>
      </c>
      <c r="AE95" s="128"/>
    </row>
    <row r="96" spans="1:31" x14ac:dyDescent="0.25">
      <c r="A96" s="53" t="s">
        <v>31</v>
      </c>
      <c r="B96" s="54">
        <f t="shared" ref="B96:O96" si="70">SUBTOTAL(9,B89:B95)</f>
        <v>0</v>
      </c>
      <c r="C96" s="54">
        <f t="shared" si="70"/>
        <v>0</v>
      </c>
      <c r="D96" s="54">
        <f t="shared" si="70"/>
        <v>0</v>
      </c>
      <c r="E96" s="54">
        <f t="shared" si="70"/>
        <v>0</v>
      </c>
      <c r="F96" s="54">
        <f t="shared" si="70"/>
        <v>0</v>
      </c>
      <c r="G96" s="54">
        <f t="shared" si="70"/>
        <v>0</v>
      </c>
      <c r="H96" s="54">
        <f t="shared" si="70"/>
        <v>0</v>
      </c>
      <c r="I96" s="54">
        <f t="shared" si="70"/>
        <v>0</v>
      </c>
      <c r="J96" s="54">
        <f t="shared" si="70"/>
        <v>0</v>
      </c>
      <c r="K96" s="54">
        <f t="shared" si="70"/>
        <v>0</v>
      </c>
      <c r="L96" s="55">
        <f t="shared" si="70"/>
        <v>0</v>
      </c>
      <c r="M96" s="54">
        <f t="shared" si="70"/>
        <v>0</v>
      </c>
      <c r="N96" s="54">
        <f t="shared" si="70"/>
        <v>71.75</v>
      </c>
      <c r="O96" s="55">
        <f t="shared" si="70"/>
        <v>71.75</v>
      </c>
      <c r="P96" s="56"/>
      <c r="Q96" s="57">
        <f>SUBTOTAL(9,Q89:Q95)</f>
        <v>71.75</v>
      </c>
      <c r="R96" s="92"/>
      <c r="S96" s="92"/>
      <c r="T96" s="102"/>
      <c r="U96" s="81"/>
      <c r="V96" s="81"/>
      <c r="W96" s="129">
        <f>SUBTOTAL(9,W89:W95)</f>
        <v>0</v>
      </c>
      <c r="X96" s="129">
        <f>SUBTOTAL(9,X89:X95)</f>
        <v>1164.5025000000001</v>
      </c>
      <c r="Y96" s="129"/>
      <c r="Z96" s="129"/>
      <c r="AA96" s="129">
        <f>SUBTOTAL(9,AA89:AA95)</f>
        <v>1164.5025000000001</v>
      </c>
      <c r="AB96" s="129">
        <f t="shared" si="68"/>
        <v>0</v>
      </c>
      <c r="AC96" s="129">
        <f t="shared" si="69"/>
        <v>1164.5025000000001</v>
      </c>
      <c r="AD96" s="130"/>
      <c r="AE96" s="129">
        <f>SUBTOTAL(9,AE89:AE95)</f>
        <v>0</v>
      </c>
    </row>
    <row r="97" spans="1:31" customFormat="1" ht="33" customHeight="1" x14ac:dyDescent="0.25">
      <c r="A97" s="45" t="s">
        <v>50</v>
      </c>
      <c r="B97" s="46" t="s">
        <v>51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7"/>
      <c r="O97" s="48"/>
      <c r="P97" s="46"/>
      <c r="Q97" s="46"/>
      <c r="R97" s="91"/>
      <c r="S97" s="91"/>
      <c r="T97" s="91"/>
      <c r="U97" s="80"/>
      <c r="V97" s="80"/>
      <c r="W97" s="48"/>
      <c r="X97" s="48"/>
      <c r="Y97" s="48"/>
      <c r="Z97" s="48"/>
      <c r="AA97" s="49"/>
      <c r="AB97" s="121"/>
      <c r="AC97" s="121"/>
      <c r="AD97" s="122"/>
      <c r="AE97" s="123"/>
    </row>
    <row r="98" spans="1:31" x14ac:dyDescent="0.25">
      <c r="A98" s="50">
        <v>46125</v>
      </c>
      <c r="B98" s="69"/>
      <c r="C98" s="70"/>
      <c r="D98" s="70"/>
      <c r="E98" s="70"/>
      <c r="F98" s="70"/>
      <c r="G98" s="70"/>
      <c r="H98" s="70"/>
      <c r="I98" s="70"/>
      <c r="J98" s="70"/>
      <c r="K98" s="70"/>
      <c r="L98" s="51">
        <f t="shared" ref="L98:L104" si="71">SUM(B98:K98)</f>
        <v>0</v>
      </c>
      <c r="M98" s="71"/>
      <c r="N98" s="71">
        <v>10</v>
      </c>
      <c r="O98" s="52">
        <f t="shared" ref="O98:O104" si="72">M98+N98</f>
        <v>10</v>
      </c>
      <c r="P98" s="72">
        <v>16.23</v>
      </c>
      <c r="Q98" s="73">
        <v>10</v>
      </c>
      <c r="R98" s="107"/>
      <c r="S98" s="107"/>
      <c r="T98" s="101"/>
      <c r="U98" s="75"/>
      <c r="V98" s="75"/>
      <c r="W98" s="124">
        <f>SUMPRODUCT(B98:K98,$B$5:K$5)</f>
        <v>0</v>
      </c>
      <c r="X98" s="124">
        <f t="shared" ref="X98:X104" si="73">N98*P98</f>
        <v>162.30000000000001</v>
      </c>
      <c r="Y98" s="124">
        <v>16.23</v>
      </c>
      <c r="Z98" s="124">
        <v>16.23</v>
      </c>
      <c r="AA98" s="124">
        <f t="shared" ref="AA98:AA104" si="74">(M98*Y98)+(N98*Z98)</f>
        <v>162.30000000000001</v>
      </c>
      <c r="AB98" s="125">
        <f t="shared" ref="AB98:AB105" si="75">MAX(AA98-X98-W98,0)</f>
        <v>0</v>
      </c>
      <c r="AC98" s="126">
        <f t="shared" ref="AC98:AC105" si="76">W98+X98+AB98</f>
        <v>162.30000000000001</v>
      </c>
      <c r="AD98" s="127" t="s">
        <v>5</v>
      </c>
      <c r="AE98" s="128"/>
    </row>
    <row r="99" spans="1:31" x14ac:dyDescent="0.25">
      <c r="A99" s="50">
        <v>46126</v>
      </c>
      <c r="B99" s="69"/>
      <c r="C99" s="70"/>
      <c r="D99" s="70"/>
      <c r="E99" s="70"/>
      <c r="F99" s="70"/>
      <c r="G99" s="70"/>
      <c r="H99" s="70"/>
      <c r="I99" s="70"/>
      <c r="J99" s="70"/>
      <c r="K99" s="70"/>
      <c r="L99" s="51">
        <f t="shared" si="71"/>
        <v>0</v>
      </c>
      <c r="M99" s="71"/>
      <c r="N99" s="71">
        <v>10.5</v>
      </c>
      <c r="O99" s="52">
        <f t="shared" si="72"/>
        <v>10.5</v>
      </c>
      <c r="P99" s="72">
        <v>16.23</v>
      </c>
      <c r="Q99" s="73">
        <v>10.5</v>
      </c>
      <c r="R99" s="107"/>
      <c r="S99" s="107"/>
      <c r="T99" s="101"/>
      <c r="U99" s="75"/>
      <c r="V99" s="75"/>
      <c r="W99" s="124">
        <f>SUMPRODUCT(B99:K99,$B$5:K$5)</f>
        <v>0</v>
      </c>
      <c r="X99" s="124">
        <f t="shared" si="73"/>
        <v>170.41499999999999</v>
      </c>
      <c r="Y99" s="124">
        <v>16.23</v>
      </c>
      <c r="Z99" s="124">
        <v>16.23</v>
      </c>
      <c r="AA99" s="124">
        <f t="shared" si="74"/>
        <v>170.41499999999999</v>
      </c>
      <c r="AB99" s="125">
        <f t="shared" si="75"/>
        <v>0</v>
      </c>
      <c r="AC99" s="126">
        <f t="shared" si="76"/>
        <v>170.41499999999999</v>
      </c>
      <c r="AD99" s="127" t="s">
        <v>5</v>
      </c>
      <c r="AE99" s="128"/>
    </row>
    <row r="100" spans="1:31" x14ac:dyDescent="0.25">
      <c r="A100" s="50">
        <v>46127</v>
      </c>
      <c r="B100" s="69"/>
      <c r="C100" s="70"/>
      <c r="D100" s="70"/>
      <c r="E100" s="70"/>
      <c r="F100" s="70"/>
      <c r="G100" s="70"/>
      <c r="H100" s="70"/>
      <c r="I100" s="70"/>
      <c r="J100" s="70"/>
      <c r="K100" s="70"/>
      <c r="L100" s="51">
        <f t="shared" si="71"/>
        <v>0</v>
      </c>
      <c r="M100" s="71"/>
      <c r="N100" s="71">
        <v>10.5</v>
      </c>
      <c r="O100" s="52">
        <f t="shared" si="72"/>
        <v>10.5</v>
      </c>
      <c r="P100" s="72">
        <v>16.23</v>
      </c>
      <c r="Q100" s="73">
        <v>10.5</v>
      </c>
      <c r="R100" s="107"/>
      <c r="S100" s="107"/>
      <c r="T100" s="101"/>
      <c r="U100" s="75"/>
      <c r="V100" s="75"/>
      <c r="W100" s="124">
        <f>SUMPRODUCT(B100:K100,$B$5:K$5)</f>
        <v>0</v>
      </c>
      <c r="X100" s="124">
        <f t="shared" si="73"/>
        <v>170.41499999999999</v>
      </c>
      <c r="Y100" s="124">
        <v>16.23</v>
      </c>
      <c r="Z100" s="124">
        <v>16.23</v>
      </c>
      <c r="AA100" s="124">
        <f t="shared" si="74"/>
        <v>170.41499999999999</v>
      </c>
      <c r="AB100" s="125">
        <f t="shared" si="75"/>
        <v>0</v>
      </c>
      <c r="AC100" s="126">
        <f t="shared" si="76"/>
        <v>170.41499999999999</v>
      </c>
      <c r="AD100" s="127" t="s">
        <v>5</v>
      </c>
      <c r="AE100" s="128"/>
    </row>
    <row r="101" spans="1:31" x14ac:dyDescent="0.25">
      <c r="A101" s="50">
        <v>46128</v>
      </c>
      <c r="B101" s="69"/>
      <c r="C101" s="70"/>
      <c r="D101" s="70"/>
      <c r="E101" s="70"/>
      <c r="F101" s="70"/>
      <c r="G101" s="70"/>
      <c r="H101" s="70"/>
      <c r="I101" s="70"/>
      <c r="J101" s="70"/>
      <c r="K101" s="70"/>
      <c r="L101" s="51">
        <f t="shared" si="71"/>
        <v>0</v>
      </c>
      <c r="M101" s="71"/>
      <c r="N101" s="71">
        <v>10.5</v>
      </c>
      <c r="O101" s="52">
        <f t="shared" si="72"/>
        <v>10.5</v>
      </c>
      <c r="P101" s="72">
        <v>16.23</v>
      </c>
      <c r="Q101" s="73">
        <v>10.5</v>
      </c>
      <c r="R101" s="107"/>
      <c r="S101" s="107"/>
      <c r="T101" s="101"/>
      <c r="U101" s="75"/>
      <c r="V101" s="75"/>
      <c r="W101" s="124">
        <f>SUMPRODUCT(B101:K101,$B$5:K$5)</f>
        <v>0</v>
      </c>
      <c r="X101" s="124">
        <f t="shared" si="73"/>
        <v>170.41499999999999</v>
      </c>
      <c r="Y101" s="124">
        <v>16.23</v>
      </c>
      <c r="Z101" s="124">
        <v>16.23</v>
      </c>
      <c r="AA101" s="124">
        <f t="shared" si="74"/>
        <v>170.41499999999999</v>
      </c>
      <c r="AB101" s="125">
        <f t="shared" si="75"/>
        <v>0</v>
      </c>
      <c r="AC101" s="126">
        <f t="shared" si="76"/>
        <v>170.41499999999999</v>
      </c>
      <c r="AD101" s="127" t="s">
        <v>5</v>
      </c>
      <c r="AE101" s="128"/>
    </row>
    <row r="102" spans="1:31" x14ac:dyDescent="0.25">
      <c r="A102" s="50">
        <v>46129</v>
      </c>
      <c r="B102" s="69"/>
      <c r="C102" s="70"/>
      <c r="D102" s="70"/>
      <c r="E102" s="70"/>
      <c r="F102" s="70"/>
      <c r="G102" s="70"/>
      <c r="H102" s="70"/>
      <c r="I102" s="70"/>
      <c r="J102" s="70"/>
      <c r="K102" s="70"/>
      <c r="L102" s="51">
        <f t="shared" si="71"/>
        <v>0</v>
      </c>
      <c r="M102" s="71"/>
      <c r="N102" s="71">
        <v>10.75</v>
      </c>
      <c r="O102" s="52">
        <f t="shared" si="72"/>
        <v>10.75</v>
      </c>
      <c r="P102" s="72">
        <v>16.23</v>
      </c>
      <c r="Q102" s="73">
        <v>10.75</v>
      </c>
      <c r="R102" s="107"/>
      <c r="S102" s="107"/>
      <c r="T102" s="101"/>
      <c r="U102" s="75"/>
      <c r="V102" s="75"/>
      <c r="W102" s="124">
        <f>SUMPRODUCT(B102:K102,$B$5:K$5)</f>
        <v>0</v>
      </c>
      <c r="X102" s="124">
        <f t="shared" si="73"/>
        <v>174.4725</v>
      </c>
      <c r="Y102" s="124">
        <v>16.23</v>
      </c>
      <c r="Z102" s="124">
        <v>16.23</v>
      </c>
      <c r="AA102" s="124">
        <f t="shared" si="74"/>
        <v>174.4725</v>
      </c>
      <c r="AB102" s="125">
        <f t="shared" si="75"/>
        <v>0</v>
      </c>
      <c r="AC102" s="126">
        <f t="shared" si="76"/>
        <v>174.4725</v>
      </c>
      <c r="AD102" s="127" t="s">
        <v>5</v>
      </c>
      <c r="AE102" s="128"/>
    </row>
    <row r="103" spans="1:31" x14ac:dyDescent="0.25">
      <c r="A103" s="50">
        <v>46130</v>
      </c>
      <c r="B103" s="69"/>
      <c r="C103" s="70"/>
      <c r="D103" s="70"/>
      <c r="E103" s="70"/>
      <c r="F103" s="70"/>
      <c r="G103" s="70"/>
      <c r="H103" s="70"/>
      <c r="I103" s="70"/>
      <c r="J103" s="70"/>
      <c r="K103" s="70"/>
      <c r="L103" s="51">
        <f t="shared" si="71"/>
        <v>0</v>
      </c>
      <c r="M103" s="71"/>
      <c r="N103" s="71">
        <v>10.75</v>
      </c>
      <c r="O103" s="52">
        <f t="shared" si="72"/>
        <v>10.75</v>
      </c>
      <c r="P103" s="72">
        <v>16.23</v>
      </c>
      <c r="Q103" s="73">
        <v>10.75</v>
      </c>
      <c r="R103" s="107"/>
      <c r="S103" s="107"/>
      <c r="T103" s="101"/>
      <c r="U103" s="75"/>
      <c r="V103" s="75"/>
      <c r="W103" s="124">
        <f>SUMPRODUCT(B103:K103,$B$5:K$5)</f>
        <v>0</v>
      </c>
      <c r="X103" s="124">
        <f t="shared" si="73"/>
        <v>174.4725</v>
      </c>
      <c r="Y103" s="124">
        <v>16.23</v>
      </c>
      <c r="Z103" s="124">
        <v>16.23</v>
      </c>
      <c r="AA103" s="124">
        <f t="shared" si="74"/>
        <v>174.4725</v>
      </c>
      <c r="AB103" s="125">
        <f t="shared" si="75"/>
        <v>0</v>
      </c>
      <c r="AC103" s="126">
        <f t="shared" si="76"/>
        <v>174.4725</v>
      </c>
      <c r="AD103" s="127" t="s">
        <v>5</v>
      </c>
      <c r="AE103" s="128"/>
    </row>
    <row r="104" spans="1:31" x14ac:dyDescent="0.25">
      <c r="A104" s="50">
        <v>46131</v>
      </c>
      <c r="B104" s="69"/>
      <c r="C104" s="70"/>
      <c r="D104" s="70"/>
      <c r="E104" s="70"/>
      <c r="F104" s="70"/>
      <c r="G104" s="70"/>
      <c r="H104" s="70"/>
      <c r="I104" s="70"/>
      <c r="J104" s="70"/>
      <c r="K104" s="70"/>
      <c r="L104" s="51">
        <f t="shared" si="71"/>
        <v>0</v>
      </c>
      <c r="M104" s="71"/>
      <c r="N104" s="71">
        <v>7.5</v>
      </c>
      <c r="O104" s="52">
        <f t="shared" si="72"/>
        <v>7.5</v>
      </c>
      <c r="P104" s="72">
        <v>16.23</v>
      </c>
      <c r="Q104" s="73">
        <v>7.5</v>
      </c>
      <c r="R104" s="107"/>
      <c r="S104" s="107"/>
      <c r="T104" s="101"/>
      <c r="U104" s="75"/>
      <c r="V104" s="75"/>
      <c r="W104" s="124">
        <f>SUMPRODUCT(B104:K104,$B$5:K$5)</f>
        <v>0</v>
      </c>
      <c r="X104" s="124">
        <f t="shared" si="73"/>
        <v>121.72500000000001</v>
      </c>
      <c r="Y104" s="124">
        <v>16.23</v>
      </c>
      <c r="Z104" s="124">
        <v>16.23</v>
      </c>
      <c r="AA104" s="124">
        <f t="shared" si="74"/>
        <v>121.72500000000001</v>
      </c>
      <c r="AB104" s="125">
        <f t="shared" si="75"/>
        <v>0</v>
      </c>
      <c r="AC104" s="126">
        <f t="shared" si="76"/>
        <v>121.72500000000001</v>
      </c>
      <c r="AD104" s="127" t="s">
        <v>5</v>
      </c>
      <c r="AE104" s="128"/>
    </row>
    <row r="105" spans="1:31" x14ac:dyDescent="0.25">
      <c r="A105" s="53" t="s">
        <v>31</v>
      </c>
      <c r="B105" s="54">
        <f t="shared" ref="B105:O105" si="77">SUBTOTAL(9,B98:B104)</f>
        <v>0</v>
      </c>
      <c r="C105" s="54">
        <f t="shared" si="77"/>
        <v>0</v>
      </c>
      <c r="D105" s="54">
        <f t="shared" si="77"/>
        <v>0</v>
      </c>
      <c r="E105" s="54">
        <f t="shared" si="77"/>
        <v>0</v>
      </c>
      <c r="F105" s="54">
        <f t="shared" si="77"/>
        <v>0</v>
      </c>
      <c r="G105" s="54">
        <f t="shared" si="77"/>
        <v>0</v>
      </c>
      <c r="H105" s="54">
        <f t="shared" si="77"/>
        <v>0</v>
      </c>
      <c r="I105" s="54">
        <f t="shared" si="77"/>
        <v>0</v>
      </c>
      <c r="J105" s="54">
        <f t="shared" si="77"/>
        <v>0</v>
      </c>
      <c r="K105" s="54">
        <f t="shared" si="77"/>
        <v>0</v>
      </c>
      <c r="L105" s="55">
        <f t="shared" si="77"/>
        <v>0</v>
      </c>
      <c r="M105" s="54">
        <f t="shared" si="77"/>
        <v>0</v>
      </c>
      <c r="N105" s="54">
        <f t="shared" si="77"/>
        <v>70.5</v>
      </c>
      <c r="O105" s="55">
        <f t="shared" si="77"/>
        <v>70.5</v>
      </c>
      <c r="P105" s="56"/>
      <c r="Q105" s="57">
        <f>SUBTOTAL(9,Q98:Q104)</f>
        <v>70.5</v>
      </c>
      <c r="R105" s="92"/>
      <c r="S105" s="92"/>
      <c r="T105" s="102"/>
      <c r="U105" s="81"/>
      <c r="V105" s="81"/>
      <c r="W105" s="129">
        <f>SUBTOTAL(9,W98:W104)</f>
        <v>0</v>
      </c>
      <c r="X105" s="129">
        <f>SUBTOTAL(9,X98:X104)</f>
        <v>1144.2149999999999</v>
      </c>
      <c r="Y105" s="129"/>
      <c r="Z105" s="129"/>
      <c r="AA105" s="129">
        <f>SUBTOTAL(9,AA98:AA104)</f>
        <v>1144.2149999999999</v>
      </c>
      <c r="AB105" s="129">
        <f t="shared" si="75"/>
        <v>0</v>
      </c>
      <c r="AC105" s="129">
        <f t="shared" si="76"/>
        <v>1144.2149999999999</v>
      </c>
      <c r="AD105" s="130"/>
      <c r="AE105" s="129">
        <f>SUBTOTAL(9,AE98:AE104)</f>
        <v>0</v>
      </c>
    </row>
    <row r="106" spans="1:31" customFormat="1" ht="33" customHeight="1" x14ac:dyDescent="0.25">
      <c r="A106" s="45" t="s">
        <v>52</v>
      </c>
      <c r="B106" s="46" t="s">
        <v>53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7"/>
      <c r="O106" s="48"/>
      <c r="P106" s="46"/>
      <c r="Q106" s="46"/>
      <c r="R106" s="91"/>
      <c r="S106" s="91"/>
      <c r="T106" s="91"/>
      <c r="U106" s="80"/>
      <c r="V106" s="80"/>
      <c r="W106" s="48"/>
      <c r="X106" s="48"/>
      <c r="Y106" s="48"/>
      <c r="Z106" s="48"/>
      <c r="AA106" s="49"/>
      <c r="AB106" s="121"/>
      <c r="AC106" s="121"/>
      <c r="AD106" s="122"/>
      <c r="AE106" s="123"/>
    </row>
    <row r="107" spans="1:31" x14ac:dyDescent="0.25">
      <c r="A107" s="50">
        <v>46125</v>
      </c>
      <c r="B107" s="69"/>
      <c r="C107" s="70"/>
      <c r="D107" s="70"/>
      <c r="E107" s="70"/>
      <c r="F107" s="70"/>
      <c r="G107" s="70"/>
      <c r="H107" s="70"/>
      <c r="I107" s="70"/>
      <c r="J107" s="70"/>
      <c r="K107" s="70"/>
      <c r="L107" s="51">
        <f t="shared" ref="L107:L113" si="78">SUM(B107:K107)</f>
        <v>0</v>
      </c>
      <c r="M107" s="71"/>
      <c r="N107" s="71">
        <v>11</v>
      </c>
      <c r="O107" s="52">
        <f t="shared" ref="O107:O113" si="79">M107+N107</f>
        <v>11</v>
      </c>
      <c r="P107" s="72">
        <v>21.62</v>
      </c>
      <c r="Q107" s="73">
        <v>11</v>
      </c>
      <c r="R107" s="107"/>
      <c r="S107" s="107"/>
      <c r="T107" s="101"/>
      <c r="U107" s="75"/>
      <c r="V107" s="75"/>
      <c r="W107" s="124">
        <f>SUMPRODUCT(B107:K107,$B$5:K$5)</f>
        <v>0</v>
      </c>
      <c r="X107" s="124">
        <f t="shared" ref="X107:X113" si="80">N107*P107</f>
        <v>237.82000000000002</v>
      </c>
      <c r="Y107" s="124">
        <v>21.62</v>
      </c>
      <c r="Z107" s="124">
        <v>21.62</v>
      </c>
      <c r="AA107" s="124">
        <f t="shared" ref="AA107:AA113" si="81">(M107*Y107)+(N107*Z107)</f>
        <v>237.82000000000002</v>
      </c>
      <c r="AB107" s="125">
        <f t="shared" ref="AB107:AB114" si="82">MAX(AA107-X107-W107,0)</f>
        <v>0</v>
      </c>
      <c r="AC107" s="126">
        <f t="shared" ref="AC107:AC114" si="83">W107+X107+AB107</f>
        <v>237.82000000000002</v>
      </c>
      <c r="AD107" s="127" t="s">
        <v>5</v>
      </c>
      <c r="AE107" s="128"/>
    </row>
    <row r="108" spans="1:31" x14ac:dyDescent="0.25">
      <c r="A108" s="50">
        <v>46126</v>
      </c>
      <c r="B108" s="69"/>
      <c r="C108" s="70"/>
      <c r="D108" s="70"/>
      <c r="E108" s="70"/>
      <c r="F108" s="70"/>
      <c r="G108" s="70"/>
      <c r="H108" s="70"/>
      <c r="I108" s="70"/>
      <c r="J108" s="70"/>
      <c r="K108" s="70"/>
      <c r="L108" s="51">
        <f t="shared" si="78"/>
        <v>0</v>
      </c>
      <c r="M108" s="71"/>
      <c r="N108" s="71">
        <v>11</v>
      </c>
      <c r="O108" s="52">
        <f t="shared" si="79"/>
        <v>11</v>
      </c>
      <c r="P108" s="72">
        <v>21.62</v>
      </c>
      <c r="Q108" s="73">
        <v>11</v>
      </c>
      <c r="R108" s="107"/>
      <c r="S108" s="107"/>
      <c r="T108" s="101"/>
      <c r="U108" s="75"/>
      <c r="V108" s="75"/>
      <c r="W108" s="124">
        <f>SUMPRODUCT(B108:K108,$B$5:K$5)</f>
        <v>0</v>
      </c>
      <c r="X108" s="124">
        <f t="shared" si="80"/>
        <v>237.82000000000002</v>
      </c>
      <c r="Y108" s="124">
        <v>21.62</v>
      </c>
      <c r="Z108" s="124">
        <v>21.62</v>
      </c>
      <c r="AA108" s="124">
        <f t="shared" si="81"/>
        <v>237.82000000000002</v>
      </c>
      <c r="AB108" s="125">
        <f t="shared" si="82"/>
        <v>0</v>
      </c>
      <c r="AC108" s="126">
        <f t="shared" si="83"/>
        <v>237.82000000000002</v>
      </c>
      <c r="AD108" s="127" t="s">
        <v>5</v>
      </c>
      <c r="AE108" s="128"/>
    </row>
    <row r="109" spans="1:31" x14ac:dyDescent="0.25">
      <c r="A109" s="50">
        <v>46127</v>
      </c>
      <c r="B109" s="69"/>
      <c r="C109" s="70"/>
      <c r="D109" s="70"/>
      <c r="E109" s="70"/>
      <c r="F109" s="70"/>
      <c r="G109" s="70"/>
      <c r="H109" s="70"/>
      <c r="I109" s="70"/>
      <c r="J109" s="70"/>
      <c r="K109" s="70"/>
      <c r="L109" s="51">
        <f t="shared" si="78"/>
        <v>0</v>
      </c>
      <c r="M109" s="71"/>
      <c r="N109" s="71">
        <v>11</v>
      </c>
      <c r="O109" s="52">
        <f t="shared" si="79"/>
        <v>11</v>
      </c>
      <c r="P109" s="72">
        <v>21.62</v>
      </c>
      <c r="Q109" s="73">
        <v>11</v>
      </c>
      <c r="R109" s="107"/>
      <c r="S109" s="107"/>
      <c r="T109" s="101"/>
      <c r="U109" s="75"/>
      <c r="V109" s="75"/>
      <c r="W109" s="124">
        <f>SUMPRODUCT(B109:K109,$B$5:K$5)</f>
        <v>0</v>
      </c>
      <c r="X109" s="124">
        <f t="shared" si="80"/>
        <v>237.82000000000002</v>
      </c>
      <c r="Y109" s="124">
        <v>21.62</v>
      </c>
      <c r="Z109" s="124">
        <v>21.62</v>
      </c>
      <c r="AA109" s="124">
        <f t="shared" si="81"/>
        <v>237.82000000000002</v>
      </c>
      <c r="AB109" s="125">
        <f t="shared" si="82"/>
        <v>0</v>
      </c>
      <c r="AC109" s="126">
        <f t="shared" si="83"/>
        <v>237.82000000000002</v>
      </c>
      <c r="AD109" s="127" t="s">
        <v>5</v>
      </c>
      <c r="AE109" s="128"/>
    </row>
    <row r="110" spans="1:31" x14ac:dyDescent="0.25">
      <c r="A110" s="50">
        <v>46128</v>
      </c>
      <c r="B110" s="69"/>
      <c r="C110" s="70"/>
      <c r="D110" s="70"/>
      <c r="E110" s="70"/>
      <c r="F110" s="70"/>
      <c r="G110" s="70"/>
      <c r="H110" s="70"/>
      <c r="I110" s="70"/>
      <c r="J110" s="70"/>
      <c r="K110" s="70"/>
      <c r="L110" s="51">
        <f t="shared" si="78"/>
        <v>0</v>
      </c>
      <c r="M110" s="71"/>
      <c r="N110" s="71">
        <v>11</v>
      </c>
      <c r="O110" s="52">
        <f t="shared" si="79"/>
        <v>11</v>
      </c>
      <c r="P110" s="72">
        <v>21.62</v>
      </c>
      <c r="Q110" s="73">
        <v>11</v>
      </c>
      <c r="R110" s="107"/>
      <c r="S110" s="107"/>
      <c r="T110" s="101"/>
      <c r="U110" s="75"/>
      <c r="V110" s="75"/>
      <c r="W110" s="124">
        <f>SUMPRODUCT(B110:K110,$B$5:K$5)</f>
        <v>0</v>
      </c>
      <c r="X110" s="124">
        <f t="shared" si="80"/>
        <v>237.82000000000002</v>
      </c>
      <c r="Y110" s="124">
        <v>21.62</v>
      </c>
      <c r="Z110" s="124">
        <v>21.62</v>
      </c>
      <c r="AA110" s="124">
        <f t="shared" si="81"/>
        <v>237.82000000000002</v>
      </c>
      <c r="AB110" s="125">
        <f t="shared" si="82"/>
        <v>0</v>
      </c>
      <c r="AC110" s="126">
        <f t="shared" si="83"/>
        <v>237.82000000000002</v>
      </c>
      <c r="AD110" s="127" t="s">
        <v>5</v>
      </c>
      <c r="AE110" s="128"/>
    </row>
    <row r="111" spans="1:31" x14ac:dyDescent="0.25">
      <c r="A111" s="50">
        <v>46129</v>
      </c>
      <c r="B111" s="69"/>
      <c r="C111" s="70"/>
      <c r="D111" s="70"/>
      <c r="E111" s="70"/>
      <c r="F111" s="70"/>
      <c r="G111" s="70"/>
      <c r="H111" s="70"/>
      <c r="I111" s="70"/>
      <c r="J111" s="70"/>
      <c r="K111" s="70"/>
      <c r="L111" s="51">
        <f t="shared" si="78"/>
        <v>0</v>
      </c>
      <c r="M111" s="71"/>
      <c r="N111" s="71">
        <v>11</v>
      </c>
      <c r="O111" s="52">
        <f t="shared" si="79"/>
        <v>11</v>
      </c>
      <c r="P111" s="72">
        <v>21.62</v>
      </c>
      <c r="Q111" s="73">
        <v>11</v>
      </c>
      <c r="R111" s="107"/>
      <c r="S111" s="107"/>
      <c r="T111" s="101"/>
      <c r="U111" s="75"/>
      <c r="V111" s="75"/>
      <c r="W111" s="124">
        <f>SUMPRODUCT(B111:K111,$B$5:K$5)</f>
        <v>0</v>
      </c>
      <c r="X111" s="124">
        <f t="shared" si="80"/>
        <v>237.82000000000002</v>
      </c>
      <c r="Y111" s="124">
        <v>21.62</v>
      </c>
      <c r="Z111" s="124">
        <v>21.62</v>
      </c>
      <c r="AA111" s="124">
        <f t="shared" si="81"/>
        <v>237.82000000000002</v>
      </c>
      <c r="AB111" s="125">
        <f t="shared" si="82"/>
        <v>0</v>
      </c>
      <c r="AC111" s="126">
        <f t="shared" si="83"/>
        <v>237.82000000000002</v>
      </c>
      <c r="AD111" s="127" t="s">
        <v>5</v>
      </c>
      <c r="AE111" s="128"/>
    </row>
    <row r="112" spans="1:31" x14ac:dyDescent="0.25">
      <c r="A112" s="50">
        <v>46130</v>
      </c>
      <c r="B112" s="69"/>
      <c r="C112" s="70"/>
      <c r="D112" s="70"/>
      <c r="E112" s="70"/>
      <c r="F112" s="70"/>
      <c r="G112" s="70"/>
      <c r="H112" s="70"/>
      <c r="I112" s="70"/>
      <c r="J112" s="70"/>
      <c r="K112" s="70"/>
      <c r="L112" s="51">
        <f t="shared" si="78"/>
        <v>0</v>
      </c>
      <c r="M112" s="71"/>
      <c r="N112" s="71">
        <v>10</v>
      </c>
      <c r="O112" s="52">
        <f t="shared" si="79"/>
        <v>10</v>
      </c>
      <c r="P112" s="72">
        <v>21.62</v>
      </c>
      <c r="Q112" s="73">
        <v>10</v>
      </c>
      <c r="R112" s="107"/>
      <c r="S112" s="107"/>
      <c r="T112" s="101"/>
      <c r="U112" s="75"/>
      <c r="V112" s="75"/>
      <c r="W112" s="124">
        <f>SUMPRODUCT(B112:K112,$B$5:K$5)</f>
        <v>0</v>
      </c>
      <c r="X112" s="124">
        <f t="shared" si="80"/>
        <v>216.20000000000002</v>
      </c>
      <c r="Y112" s="124">
        <v>21.62</v>
      </c>
      <c r="Z112" s="124">
        <v>21.62</v>
      </c>
      <c r="AA112" s="124">
        <f t="shared" si="81"/>
        <v>216.20000000000002</v>
      </c>
      <c r="AB112" s="125">
        <f t="shared" si="82"/>
        <v>0</v>
      </c>
      <c r="AC112" s="126">
        <f t="shared" si="83"/>
        <v>216.20000000000002</v>
      </c>
      <c r="AD112" s="127" t="s">
        <v>5</v>
      </c>
      <c r="AE112" s="128"/>
    </row>
    <row r="113" spans="1:31" x14ac:dyDescent="0.25">
      <c r="A113" s="50">
        <v>46131</v>
      </c>
      <c r="B113" s="69"/>
      <c r="C113" s="70"/>
      <c r="D113" s="70"/>
      <c r="E113" s="70"/>
      <c r="F113" s="70"/>
      <c r="G113" s="70"/>
      <c r="H113" s="70"/>
      <c r="I113" s="70"/>
      <c r="J113" s="70"/>
      <c r="K113" s="70"/>
      <c r="L113" s="51">
        <f t="shared" si="78"/>
        <v>0</v>
      </c>
      <c r="M113" s="71"/>
      <c r="N113" s="71">
        <v>7.5</v>
      </c>
      <c r="O113" s="52">
        <f t="shared" si="79"/>
        <v>7.5</v>
      </c>
      <c r="P113" s="72">
        <v>21.62</v>
      </c>
      <c r="Q113" s="73">
        <v>7.5</v>
      </c>
      <c r="R113" s="107"/>
      <c r="S113" s="107"/>
      <c r="T113" s="101"/>
      <c r="U113" s="75"/>
      <c r="V113" s="75"/>
      <c r="W113" s="124">
        <f>SUMPRODUCT(B113:K113,$B$5:K$5)</f>
        <v>0</v>
      </c>
      <c r="X113" s="124">
        <f t="shared" si="80"/>
        <v>162.15</v>
      </c>
      <c r="Y113" s="124">
        <v>21.62</v>
      </c>
      <c r="Z113" s="124">
        <v>21.62</v>
      </c>
      <c r="AA113" s="124">
        <f t="shared" si="81"/>
        <v>162.15</v>
      </c>
      <c r="AB113" s="125">
        <f t="shared" si="82"/>
        <v>0</v>
      </c>
      <c r="AC113" s="126">
        <f t="shared" si="83"/>
        <v>162.15</v>
      </c>
      <c r="AD113" s="127" t="s">
        <v>5</v>
      </c>
      <c r="AE113" s="128"/>
    </row>
    <row r="114" spans="1:31" x14ac:dyDescent="0.25">
      <c r="A114" s="53" t="s">
        <v>31</v>
      </c>
      <c r="B114" s="54">
        <f t="shared" ref="B114:O114" si="84">SUBTOTAL(9,B107:B113)</f>
        <v>0</v>
      </c>
      <c r="C114" s="54">
        <f t="shared" si="84"/>
        <v>0</v>
      </c>
      <c r="D114" s="54">
        <f t="shared" si="84"/>
        <v>0</v>
      </c>
      <c r="E114" s="54">
        <f t="shared" si="84"/>
        <v>0</v>
      </c>
      <c r="F114" s="54">
        <f t="shared" si="84"/>
        <v>0</v>
      </c>
      <c r="G114" s="54">
        <f t="shared" si="84"/>
        <v>0</v>
      </c>
      <c r="H114" s="54">
        <f t="shared" si="84"/>
        <v>0</v>
      </c>
      <c r="I114" s="54">
        <f t="shared" si="84"/>
        <v>0</v>
      </c>
      <c r="J114" s="54">
        <f t="shared" si="84"/>
        <v>0</v>
      </c>
      <c r="K114" s="54">
        <f t="shared" si="84"/>
        <v>0</v>
      </c>
      <c r="L114" s="55">
        <f t="shared" si="84"/>
        <v>0</v>
      </c>
      <c r="M114" s="54">
        <f t="shared" si="84"/>
        <v>0</v>
      </c>
      <c r="N114" s="54">
        <f t="shared" si="84"/>
        <v>72.5</v>
      </c>
      <c r="O114" s="55">
        <f t="shared" si="84"/>
        <v>72.5</v>
      </c>
      <c r="P114" s="56"/>
      <c r="Q114" s="57">
        <f>SUBTOTAL(9,Q107:Q113)</f>
        <v>72.5</v>
      </c>
      <c r="R114" s="92"/>
      <c r="S114" s="92"/>
      <c r="T114" s="102"/>
      <c r="U114" s="81"/>
      <c r="V114" s="81"/>
      <c r="W114" s="129">
        <f>SUBTOTAL(9,W107:W113)</f>
        <v>0</v>
      </c>
      <c r="X114" s="129">
        <f>SUBTOTAL(9,X107:X113)</f>
        <v>1567.4500000000003</v>
      </c>
      <c r="Y114" s="129"/>
      <c r="Z114" s="129"/>
      <c r="AA114" s="129">
        <f>SUBTOTAL(9,AA107:AA113)</f>
        <v>1567.4500000000003</v>
      </c>
      <c r="AB114" s="129">
        <f t="shared" si="82"/>
        <v>0</v>
      </c>
      <c r="AC114" s="129">
        <f t="shared" si="83"/>
        <v>1567.4500000000003</v>
      </c>
      <c r="AD114" s="130"/>
      <c r="AE114" s="129">
        <f>SUBTOTAL(9,AE107:AE113)</f>
        <v>0</v>
      </c>
    </row>
    <row r="115" spans="1:31" customFormat="1" ht="33" customHeight="1" x14ac:dyDescent="0.25">
      <c r="A115" s="45" t="s">
        <v>54</v>
      </c>
      <c r="B115" s="46" t="s">
        <v>55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7"/>
      <c r="O115" s="48"/>
      <c r="P115" s="46"/>
      <c r="Q115" s="46"/>
      <c r="R115" s="91"/>
      <c r="S115" s="91"/>
      <c r="T115" s="91"/>
      <c r="U115" s="80"/>
      <c r="V115" s="80"/>
      <c r="W115" s="48"/>
      <c r="X115" s="48"/>
      <c r="Y115" s="48"/>
      <c r="Z115" s="48"/>
      <c r="AA115" s="49"/>
      <c r="AB115" s="121"/>
      <c r="AC115" s="121"/>
      <c r="AD115" s="122"/>
      <c r="AE115" s="123"/>
    </row>
    <row r="116" spans="1:31" x14ac:dyDescent="0.25">
      <c r="A116" s="50">
        <v>46125</v>
      </c>
      <c r="B116" s="69"/>
      <c r="C116" s="70"/>
      <c r="D116" s="70"/>
      <c r="E116" s="70"/>
      <c r="F116" s="70"/>
      <c r="G116" s="70"/>
      <c r="H116" s="70"/>
      <c r="I116" s="70"/>
      <c r="J116" s="70"/>
      <c r="K116" s="70"/>
      <c r="L116" s="51">
        <f t="shared" ref="L116:L122" si="85">SUM(B116:K116)</f>
        <v>0</v>
      </c>
      <c r="M116" s="71"/>
      <c r="N116" s="71"/>
      <c r="O116" s="52">
        <f t="shared" ref="O116:O122" si="86">M116+N116</f>
        <v>0</v>
      </c>
      <c r="P116" s="72">
        <v>16.23</v>
      </c>
      <c r="Q116" s="73"/>
      <c r="R116" s="107"/>
      <c r="S116" s="107"/>
      <c r="T116" s="101"/>
      <c r="U116" s="75"/>
      <c r="V116" s="75"/>
      <c r="W116" s="124">
        <f>SUMPRODUCT(B116:K116,$B$5:K$5)</f>
        <v>0</v>
      </c>
      <c r="X116" s="124">
        <f t="shared" ref="X116:X122" si="87">N116*P116</f>
        <v>0</v>
      </c>
      <c r="Y116" s="124">
        <v>16.23</v>
      </c>
      <c r="Z116" s="124">
        <v>16.23</v>
      </c>
      <c r="AA116" s="124">
        <f t="shared" ref="AA116:AA122" si="88">(M116*Y116)+(N116*Z116)</f>
        <v>0</v>
      </c>
      <c r="AB116" s="125">
        <f t="shared" ref="AB116:AB123" si="89">MAX(AA116-X116-W116,0)</f>
        <v>0</v>
      </c>
      <c r="AC116" s="126">
        <f t="shared" ref="AC116:AC123" si="90">W116+X116+AB116</f>
        <v>0</v>
      </c>
      <c r="AD116" s="127" t="s">
        <v>5</v>
      </c>
      <c r="AE116" s="128"/>
    </row>
    <row r="117" spans="1:31" x14ac:dyDescent="0.25">
      <c r="A117" s="50">
        <v>46126</v>
      </c>
      <c r="B117" s="69"/>
      <c r="C117" s="70"/>
      <c r="D117" s="70"/>
      <c r="E117" s="70"/>
      <c r="F117" s="70"/>
      <c r="G117" s="70"/>
      <c r="H117" s="70"/>
      <c r="I117" s="70"/>
      <c r="J117" s="70"/>
      <c r="K117" s="70"/>
      <c r="L117" s="51">
        <f t="shared" si="85"/>
        <v>0</v>
      </c>
      <c r="M117" s="71"/>
      <c r="N117" s="71"/>
      <c r="O117" s="52">
        <f t="shared" si="86"/>
        <v>0</v>
      </c>
      <c r="P117" s="72">
        <v>16.23</v>
      </c>
      <c r="Q117" s="73"/>
      <c r="R117" s="107"/>
      <c r="S117" s="107"/>
      <c r="T117" s="101"/>
      <c r="U117" s="75"/>
      <c r="V117" s="75"/>
      <c r="W117" s="124">
        <f>SUMPRODUCT(B117:K117,$B$5:K$5)</f>
        <v>0</v>
      </c>
      <c r="X117" s="124">
        <f t="shared" si="87"/>
        <v>0</v>
      </c>
      <c r="Y117" s="124">
        <v>16.23</v>
      </c>
      <c r="Z117" s="124">
        <v>16.23</v>
      </c>
      <c r="AA117" s="124">
        <f t="shared" si="88"/>
        <v>0</v>
      </c>
      <c r="AB117" s="125">
        <f t="shared" si="89"/>
        <v>0</v>
      </c>
      <c r="AC117" s="126">
        <f t="shared" si="90"/>
        <v>0</v>
      </c>
      <c r="AD117" s="127" t="s">
        <v>5</v>
      </c>
      <c r="AE117" s="128"/>
    </row>
    <row r="118" spans="1:31" x14ac:dyDescent="0.25">
      <c r="A118" s="50">
        <v>46127</v>
      </c>
      <c r="B118" s="69"/>
      <c r="C118" s="70"/>
      <c r="D118" s="70"/>
      <c r="E118" s="70"/>
      <c r="F118" s="70"/>
      <c r="G118" s="70"/>
      <c r="H118" s="70"/>
      <c r="I118" s="70"/>
      <c r="J118" s="70"/>
      <c r="K118" s="70"/>
      <c r="L118" s="51">
        <f t="shared" si="85"/>
        <v>0</v>
      </c>
      <c r="M118" s="71"/>
      <c r="N118" s="71"/>
      <c r="O118" s="52">
        <f t="shared" si="86"/>
        <v>0</v>
      </c>
      <c r="P118" s="72">
        <v>16.23</v>
      </c>
      <c r="Q118" s="73"/>
      <c r="R118" s="107"/>
      <c r="S118" s="107"/>
      <c r="T118" s="101"/>
      <c r="U118" s="75"/>
      <c r="V118" s="75"/>
      <c r="W118" s="124">
        <f>SUMPRODUCT(B118:K118,$B$5:K$5)</f>
        <v>0</v>
      </c>
      <c r="X118" s="124">
        <f t="shared" si="87"/>
        <v>0</v>
      </c>
      <c r="Y118" s="124">
        <v>16.23</v>
      </c>
      <c r="Z118" s="124">
        <v>16.23</v>
      </c>
      <c r="AA118" s="124">
        <f t="shared" si="88"/>
        <v>0</v>
      </c>
      <c r="AB118" s="125">
        <f t="shared" si="89"/>
        <v>0</v>
      </c>
      <c r="AC118" s="126">
        <f t="shared" si="90"/>
        <v>0</v>
      </c>
      <c r="AD118" s="127" t="s">
        <v>5</v>
      </c>
      <c r="AE118" s="128"/>
    </row>
    <row r="119" spans="1:31" x14ac:dyDescent="0.25">
      <c r="A119" s="50">
        <v>46128</v>
      </c>
      <c r="B119" s="69"/>
      <c r="C119" s="70"/>
      <c r="D119" s="70"/>
      <c r="E119" s="70"/>
      <c r="F119" s="70"/>
      <c r="G119" s="70"/>
      <c r="H119" s="70"/>
      <c r="I119" s="70"/>
      <c r="J119" s="70"/>
      <c r="K119" s="70"/>
      <c r="L119" s="51">
        <f t="shared" si="85"/>
        <v>0</v>
      </c>
      <c r="M119" s="71"/>
      <c r="N119" s="71"/>
      <c r="O119" s="52">
        <f t="shared" si="86"/>
        <v>0</v>
      </c>
      <c r="P119" s="72">
        <v>16.23</v>
      </c>
      <c r="Q119" s="73"/>
      <c r="R119" s="107"/>
      <c r="S119" s="107"/>
      <c r="T119" s="101"/>
      <c r="U119" s="75"/>
      <c r="V119" s="75"/>
      <c r="W119" s="124">
        <f>SUMPRODUCT(B119:K119,$B$5:K$5)</f>
        <v>0</v>
      </c>
      <c r="X119" s="124">
        <f t="shared" si="87"/>
        <v>0</v>
      </c>
      <c r="Y119" s="124">
        <v>16.23</v>
      </c>
      <c r="Z119" s="124">
        <v>16.23</v>
      </c>
      <c r="AA119" s="124">
        <f t="shared" si="88"/>
        <v>0</v>
      </c>
      <c r="AB119" s="125">
        <f t="shared" si="89"/>
        <v>0</v>
      </c>
      <c r="AC119" s="126">
        <f t="shared" si="90"/>
        <v>0</v>
      </c>
      <c r="AD119" s="127" t="s">
        <v>5</v>
      </c>
      <c r="AE119" s="128"/>
    </row>
    <row r="120" spans="1:31" x14ac:dyDescent="0.25">
      <c r="A120" s="50">
        <v>46129</v>
      </c>
      <c r="B120" s="69"/>
      <c r="C120" s="70"/>
      <c r="D120" s="70"/>
      <c r="E120" s="70"/>
      <c r="F120" s="70"/>
      <c r="G120" s="70"/>
      <c r="H120" s="70"/>
      <c r="I120" s="70"/>
      <c r="J120" s="70"/>
      <c r="K120" s="70"/>
      <c r="L120" s="51">
        <f t="shared" si="85"/>
        <v>0</v>
      </c>
      <c r="M120" s="71"/>
      <c r="N120" s="71"/>
      <c r="O120" s="52">
        <f t="shared" si="86"/>
        <v>0</v>
      </c>
      <c r="P120" s="72">
        <v>16.23</v>
      </c>
      <c r="Q120" s="73"/>
      <c r="R120" s="107"/>
      <c r="S120" s="107"/>
      <c r="T120" s="101"/>
      <c r="U120" s="75"/>
      <c r="V120" s="75"/>
      <c r="W120" s="124">
        <f>SUMPRODUCT(B120:K120,$B$5:K$5)</f>
        <v>0</v>
      </c>
      <c r="X120" s="124">
        <f t="shared" si="87"/>
        <v>0</v>
      </c>
      <c r="Y120" s="124">
        <v>16.23</v>
      </c>
      <c r="Z120" s="124">
        <v>16.23</v>
      </c>
      <c r="AA120" s="124">
        <f t="shared" si="88"/>
        <v>0</v>
      </c>
      <c r="AB120" s="125">
        <f t="shared" si="89"/>
        <v>0</v>
      </c>
      <c r="AC120" s="126">
        <f t="shared" si="90"/>
        <v>0</v>
      </c>
      <c r="AD120" s="127" t="s">
        <v>5</v>
      </c>
      <c r="AE120" s="128"/>
    </row>
    <row r="121" spans="1:31" x14ac:dyDescent="0.25">
      <c r="A121" s="50">
        <v>46130</v>
      </c>
      <c r="B121" s="69"/>
      <c r="C121" s="70"/>
      <c r="D121" s="70"/>
      <c r="E121" s="70"/>
      <c r="F121" s="70"/>
      <c r="G121" s="70"/>
      <c r="H121" s="70"/>
      <c r="I121" s="70"/>
      <c r="J121" s="70"/>
      <c r="K121" s="70"/>
      <c r="L121" s="51">
        <f t="shared" si="85"/>
        <v>0</v>
      </c>
      <c r="M121" s="71"/>
      <c r="N121" s="71"/>
      <c r="O121" s="52">
        <f t="shared" si="86"/>
        <v>0</v>
      </c>
      <c r="P121" s="72">
        <v>16.23</v>
      </c>
      <c r="Q121" s="73"/>
      <c r="R121" s="107"/>
      <c r="S121" s="107"/>
      <c r="T121" s="101"/>
      <c r="U121" s="75"/>
      <c r="V121" s="75"/>
      <c r="W121" s="124">
        <f>SUMPRODUCT(B121:K121,$B$5:K$5)</f>
        <v>0</v>
      </c>
      <c r="X121" s="124">
        <f t="shared" si="87"/>
        <v>0</v>
      </c>
      <c r="Y121" s="124">
        <v>16.23</v>
      </c>
      <c r="Z121" s="124">
        <v>16.23</v>
      </c>
      <c r="AA121" s="124">
        <f t="shared" si="88"/>
        <v>0</v>
      </c>
      <c r="AB121" s="125">
        <f t="shared" si="89"/>
        <v>0</v>
      </c>
      <c r="AC121" s="126">
        <f t="shared" si="90"/>
        <v>0</v>
      </c>
      <c r="AD121" s="127" t="s">
        <v>5</v>
      </c>
      <c r="AE121" s="128"/>
    </row>
    <row r="122" spans="1:31" x14ac:dyDescent="0.25">
      <c r="A122" s="50">
        <v>46131</v>
      </c>
      <c r="B122" s="69"/>
      <c r="C122" s="70"/>
      <c r="D122" s="70"/>
      <c r="E122" s="70"/>
      <c r="F122" s="70"/>
      <c r="G122" s="70"/>
      <c r="H122" s="70"/>
      <c r="I122" s="70"/>
      <c r="J122" s="70"/>
      <c r="K122" s="70"/>
      <c r="L122" s="51">
        <f t="shared" si="85"/>
        <v>0</v>
      </c>
      <c r="M122" s="71"/>
      <c r="N122" s="71"/>
      <c r="O122" s="52">
        <f t="shared" si="86"/>
        <v>0</v>
      </c>
      <c r="P122" s="72">
        <v>16.23</v>
      </c>
      <c r="Q122" s="73"/>
      <c r="R122" s="107"/>
      <c r="S122" s="107"/>
      <c r="T122" s="101"/>
      <c r="U122" s="75"/>
      <c r="V122" s="75"/>
      <c r="W122" s="124">
        <f>SUMPRODUCT(B122:K122,$B$5:K$5)</f>
        <v>0</v>
      </c>
      <c r="X122" s="124">
        <f t="shared" si="87"/>
        <v>0</v>
      </c>
      <c r="Y122" s="124">
        <v>16.23</v>
      </c>
      <c r="Z122" s="124">
        <v>16.23</v>
      </c>
      <c r="AA122" s="124">
        <f t="shared" si="88"/>
        <v>0</v>
      </c>
      <c r="AB122" s="125">
        <f t="shared" si="89"/>
        <v>0</v>
      </c>
      <c r="AC122" s="126">
        <f t="shared" si="90"/>
        <v>0</v>
      </c>
      <c r="AD122" s="127" t="s">
        <v>5</v>
      </c>
      <c r="AE122" s="128"/>
    </row>
    <row r="123" spans="1:31" x14ac:dyDescent="0.25">
      <c r="A123" s="53" t="s">
        <v>31</v>
      </c>
      <c r="B123" s="54">
        <f t="shared" ref="B123:O123" si="91">SUBTOTAL(9,B116:B122)</f>
        <v>0</v>
      </c>
      <c r="C123" s="54">
        <f t="shared" si="91"/>
        <v>0</v>
      </c>
      <c r="D123" s="54">
        <f t="shared" si="91"/>
        <v>0</v>
      </c>
      <c r="E123" s="54">
        <f t="shared" si="91"/>
        <v>0</v>
      </c>
      <c r="F123" s="54">
        <f t="shared" si="91"/>
        <v>0</v>
      </c>
      <c r="G123" s="54">
        <f t="shared" si="91"/>
        <v>0</v>
      </c>
      <c r="H123" s="54">
        <f t="shared" si="91"/>
        <v>0</v>
      </c>
      <c r="I123" s="54">
        <f t="shared" si="91"/>
        <v>0</v>
      </c>
      <c r="J123" s="54">
        <f t="shared" si="91"/>
        <v>0</v>
      </c>
      <c r="K123" s="54">
        <f t="shared" si="91"/>
        <v>0</v>
      </c>
      <c r="L123" s="55">
        <f t="shared" si="91"/>
        <v>0</v>
      </c>
      <c r="M123" s="54">
        <f t="shared" si="91"/>
        <v>0</v>
      </c>
      <c r="N123" s="54">
        <f t="shared" si="91"/>
        <v>0</v>
      </c>
      <c r="O123" s="55">
        <f t="shared" si="91"/>
        <v>0</v>
      </c>
      <c r="P123" s="56"/>
      <c r="Q123" s="57">
        <f>SUBTOTAL(9,Q116:Q122)</f>
        <v>0</v>
      </c>
      <c r="R123" s="92"/>
      <c r="S123" s="92"/>
      <c r="T123" s="102"/>
      <c r="U123" s="81"/>
      <c r="V123" s="81"/>
      <c r="W123" s="129">
        <f>SUBTOTAL(9,W116:W122)</f>
        <v>0</v>
      </c>
      <c r="X123" s="129">
        <f>SUBTOTAL(9,X116:X122)</f>
        <v>0</v>
      </c>
      <c r="Y123" s="129"/>
      <c r="Z123" s="129"/>
      <c r="AA123" s="129">
        <f>SUBTOTAL(9,AA116:AA122)</f>
        <v>0</v>
      </c>
      <c r="AB123" s="129">
        <f t="shared" si="89"/>
        <v>0</v>
      </c>
      <c r="AC123" s="129">
        <f t="shared" si="90"/>
        <v>0</v>
      </c>
      <c r="AD123" s="130"/>
      <c r="AE123" s="129">
        <f>SUBTOTAL(9,AE116:AE122)</f>
        <v>0</v>
      </c>
    </row>
    <row r="124" spans="1:31" customFormat="1" ht="33" customHeight="1" x14ac:dyDescent="0.25">
      <c r="A124" s="45" t="s">
        <v>56</v>
      </c>
      <c r="B124" s="46" t="s">
        <v>57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8"/>
      <c r="P124" s="46"/>
      <c r="Q124" s="46"/>
      <c r="R124" s="91"/>
      <c r="S124" s="91"/>
      <c r="T124" s="91"/>
      <c r="U124" s="80"/>
      <c r="V124" s="80"/>
      <c r="W124" s="48"/>
      <c r="X124" s="48"/>
      <c r="Y124" s="48"/>
      <c r="Z124" s="48"/>
      <c r="AA124" s="49"/>
      <c r="AB124" s="121"/>
      <c r="AC124" s="121"/>
      <c r="AD124" s="122"/>
      <c r="AE124" s="123"/>
    </row>
    <row r="125" spans="1:31" x14ac:dyDescent="0.25">
      <c r="A125" s="50">
        <v>46125</v>
      </c>
      <c r="B125" s="69"/>
      <c r="C125" s="70"/>
      <c r="D125" s="70"/>
      <c r="E125" s="70"/>
      <c r="F125" s="70"/>
      <c r="G125" s="70"/>
      <c r="H125" s="70"/>
      <c r="I125" s="70"/>
      <c r="J125" s="70"/>
      <c r="K125" s="70"/>
      <c r="L125" s="51">
        <f t="shared" ref="L125:L131" si="92">SUM(B125:K125)</f>
        <v>0</v>
      </c>
      <c r="M125" s="71"/>
      <c r="N125" s="71">
        <v>10</v>
      </c>
      <c r="O125" s="52">
        <f t="shared" ref="O125:O131" si="93">M125+N125</f>
        <v>10</v>
      </c>
      <c r="P125" s="72">
        <v>16.23</v>
      </c>
      <c r="Q125" s="73">
        <v>10</v>
      </c>
      <c r="R125" s="107"/>
      <c r="S125" s="107"/>
      <c r="T125" s="101"/>
      <c r="U125" s="75"/>
      <c r="V125" s="75"/>
      <c r="W125" s="124">
        <f>SUMPRODUCT(B125:K125,$B$5:K$5)</f>
        <v>0</v>
      </c>
      <c r="X125" s="124">
        <f t="shared" ref="X125:X131" si="94">N125*P125</f>
        <v>162.30000000000001</v>
      </c>
      <c r="Y125" s="124">
        <v>16.23</v>
      </c>
      <c r="Z125" s="124">
        <v>16.23</v>
      </c>
      <c r="AA125" s="124">
        <f t="shared" ref="AA125:AA131" si="95">(M125*Y125)+(N125*Z125)</f>
        <v>162.30000000000001</v>
      </c>
      <c r="AB125" s="125">
        <f t="shared" ref="AB125:AB132" si="96">MAX(AA125-X125-W125,0)</f>
        <v>0</v>
      </c>
      <c r="AC125" s="126">
        <f t="shared" ref="AC125:AC132" si="97">W125+X125+AB125</f>
        <v>162.30000000000001</v>
      </c>
      <c r="AD125" s="127" t="s">
        <v>5</v>
      </c>
      <c r="AE125" s="128"/>
    </row>
    <row r="126" spans="1:31" x14ac:dyDescent="0.25">
      <c r="A126" s="50">
        <v>46126</v>
      </c>
      <c r="B126" s="69"/>
      <c r="C126" s="70"/>
      <c r="D126" s="70"/>
      <c r="E126" s="70"/>
      <c r="F126" s="70"/>
      <c r="G126" s="70"/>
      <c r="H126" s="70"/>
      <c r="I126" s="70"/>
      <c r="J126" s="70"/>
      <c r="K126" s="70"/>
      <c r="L126" s="51">
        <f t="shared" si="92"/>
        <v>0</v>
      </c>
      <c r="M126" s="71"/>
      <c r="N126" s="71">
        <v>11</v>
      </c>
      <c r="O126" s="52">
        <f t="shared" si="93"/>
        <v>11</v>
      </c>
      <c r="P126" s="72">
        <v>16.23</v>
      </c>
      <c r="Q126" s="73">
        <v>11</v>
      </c>
      <c r="R126" s="107"/>
      <c r="S126" s="107"/>
      <c r="T126" s="101"/>
      <c r="U126" s="75"/>
      <c r="V126" s="75"/>
      <c r="W126" s="124">
        <f>SUMPRODUCT(B126:K126,$B$5:K$5)</f>
        <v>0</v>
      </c>
      <c r="X126" s="124">
        <f t="shared" si="94"/>
        <v>178.53</v>
      </c>
      <c r="Y126" s="124">
        <v>16.23</v>
      </c>
      <c r="Z126" s="124">
        <v>16.23</v>
      </c>
      <c r="AA126" s="124">
        <f t="shared" si="95"/>
        <v>178.53</v>
      </c>
      <c r="AB126" s="125">
        <f t="shared" si="96"/>
        <v>0</v>
      </c>
      <c r="AC126" s="126">
        <f t="shared" si="97"/>
        <v>178.53</v>
      </c>
      <c r="AD126" s="127" t="s">
        <v>5</v>
      </c>
      <c r="AE126" s="128"/>
    </row>
    <row r="127" spans="1:31" x14ac:dyDescent="0.25">
      <c r="A127" s="50">
        <v>46127</v>
      </c>
      <c r="B127" s="69"/>
      <c r="C127" s="70"/>
      <c r="D127" s="70"/>
      <c r="E127" s="70"/>
      <c r="F127" s="70"/>
      <c r="G127" s="70"/>
      <c r="H127" s="70"/>
      <c r="I127" s="70"/>
      <c r="J127" s="70"/>
      <c r="K127" s="70"/>
      <c r="L127" s="51">
        <f t="shared" si="92"/>
        <v>0</v>
      </c>
      <c r="M127" s="71"/>
      <c r="N127" s="71">
        <v>10</v>
      </c>
      <c r="O127" s="52">
        <f t="shared" si="93"/>
        <v>10</v>
      </c>
      <c r="P127" s="72">
        <v>16.23</v>
      </c>
      <c r="Q127" s="73">
        <v>10</v>
      </c>
      <c r="R127" s="107"/>
      <c r="S127" s="107"/>
      <c r="T127" s="101"/>
      <c r="U127" s="75"/>
      <c r="V127" s="75"/>
      <c r="W127" s="124">
        <f>SUMPRODUCT(B127:K127,$B$5:K$5)</f>
        <v>0</v>
      </c>
      <c r="X127" s="124">
        <f t="shared" si="94"/>
        <v>162.30000000000001</v>
      </c>
      <c r="Y127" s="124">
        <v>16.23</v>
      </c>
      <c r="Z127" s="124">
        <v>16.23</v>
      </c>
      <c r="AA127" s="124">
        <f t="shared" si="95"/>
        <v>162.30000000000001</v>
      </c>
      <c r="AB127" s="125">
        <f t="shared" si="96"/>
        <v>0</v>
      </c>
      <c r="AC127" s="126">
        <f t="shared" si="97"/>
        <v>162.30000000000001</v>
      </c>
      <c r="AD127" s="127" t="s">
        <v>5</v>
      </c>
      <c r="AE127" s="128"/>
    </row>
    <row r="128" spans="1:31" x14ac:dyDescent="0.25">
      <c r="A128" s="50">
        <v>46128</v>
      </c>
      <c r="B128" s="69"/>
      <c r="C128" s="70"/>
      <c r="D128" s="70"/>
      <c r="E128" s="70"/>
      <c r="F128" s="70"/>
      <c r="G128" s="70"/>
      <c r="H128" s="70"/>
      <c r="I128" s="70"/>
      <c r="J128" s="70"/>
      <c r="K128" s="70"/>
      <c r="L128" s="51">
        <f t="shared" si="92"/>
        <v>0</v>
      </c>
      <c r="M128" s="71"/>
      <c r="N128" s="71">
        <v>11</v>
      </c>
      <c r="O128" s="52">
        <f t="shared" si="93"/>
        <v>11</v>
      </c>
      <c r="P128" s="72">
        <v>16.23</v>
      </c>
      <c r="Q128" s="73">
        <v>11</v>
      </c>
      <c r="R128" s="107"/>
      <c r="S128" s="107"/>
      <c r="T128" s="101"/>
      <c r="U128" s="75"/>
      <c r="V128" s="75"/>
      <c r="W128" s="124">
        <f>SUMPRODUCT(B128:K128,$B$5:K$5)</f>
        <v>0</v>
      </c>
      <c r="X128" s="124">
        <f t="shared" si="94"/>
        <v>178.53</v>
      </c>
      <c r="Y128" s="124">
        <v>16.23</v>
      </c>
      <c r="Z128" s="124">
        <v>16.23</v>
      </c>
      <c r="AA128" s="124">
        <f t="shared" si="95"/>
        <v>178.53</v>
      </c>
      <c r="AB128" s="125">
        <f t="shared" si="96"/>
        <v>0</v>
      </c>
      <c r="AC128" s="126">
        <f t="shared" si="97"/>
        <v>178.53</v>
      </c>
      <c r="AD128" s="127" t="s">
        <v>5</v>
      </c>
      <c r="AE128" s="128"/>
    </row>
    <row r="129" spans="1:31" x14ac:dyDescent="0.25">
      <c r="A129" s="50">
        <v>46129</v>
      </c>
      <c r="B129" s="69"/>
      <c r="C129" s="70"/>
      <c r="D129" s="70"/>
      <c r="E129" s="70"/>
      <c r="F129" s="70"/>
      <c r="G129" s="70"/>
      <c r="H129" s="70"/>
      <c r="I129" s="70"/>
      <c r="J129" s="70"/>
      <c r="K129" s="70"/>
      <c r="L129" s="51">
        <f t="shared" si="92"/>
        <v>0</v>
      </c>
      <c r="M129" s="71"/>
      <c r="N129" s="71">
        <v>10.5</v>
      </c>
      <c r="O129" s="52">
        <f t="shared" si="93"/>
        <v>10.5</v>
      </c>
      <c r="P129" s="72">
        <v>16.23</v>
      </c>
      <c r="Q129" s="73">
        <v>10.5</v>
      </c>
      <c r="R129" s="107"/>
      <c r="S129" s="107"/>
      <c r="T129" s="101"/>
      <c r="U129" s="75"/>
      <c r="V129" s="75"/>
      <c r="W129" s="124">
        <f>SUMPRODUCT(B129:K129,$B$5:K$5)</f>
        <v>0</v>
      </c>
      <c r="X129" s="124">
        <f t="shared" si="94"/>
        <v>170.41499999999999</v>
      </c>
      <c r="Y129" s="124">
        <v>16.23</v>
      </c>
      <c r="Z129" s="124">
        <v>16.23</v>
      </c>
      <c r="AA129" s="124">
        <f t="shared" si="95"/>
        <v>170.41499999999999</v>
      </c>
      <c r="AB129" s="125">
        <f t="shared" si="96"/>
        <v>0</v>
      </c>
      <c r="AC129" s="126">
        <f t="shared" si="97"/>
        <v>170.41499999999999</v>
      </c>
      <c r="AD129" s="127" t="s">
        <v>5</v>
      </c>
      <c r="AE129" s="128"/>
    </row>
    <row r="130" spans="1:31" x14ac:dyDescent="0.25">
      <c r="A130" s="50">
        <v>46130</v>
      </c>
      <c r="B130" s="69"/>
      <c r="C130" s="70"/>
      <c r="D130" s="70"/>
      <c r="E130" s="70"/>
      <c r="F130" s="70"/>
      <c r="G130" s="70"/>
      <c r="H130" s="70"/>
      <c r="I130" s="70"/>
      <c r="J130" s="70"/>
      <c r="K130" s="70"/>
      <c r="L130" s="51">
        <f t="shared" si="92"/>
        <v>0</v>
      </c>
      <c r="M130" s="71"/>
      <c r="N130" s="71">
        <v>8.5</v>
      </c>
      <c r="O130" s="52">
        <f t="shared" si="93"/>
        <v>8.5</v>
      </c>
      <c r="P130" s="72">
        <v>16.23</v>
      </c>
      <c r="Q130" s="73">
        <v>8.5</v>
      </c>
      <c r="R130" s="107"/>
      <c r="S130" s="107"/>
      <c r="T130" s="101"/>
      <c r="U130" s="75"/>
      <c r="V130" s="75"/>
      <c r="W130" s="124">
        <f>SUMPRODUCT(B130:K130,$B$5:K$5)</f>
        <v>0</v>
      </c>
      <c r="X130" s="124">
        <f t="shared" si="94"/>
        <v>137.95500000000001</v>
      </c>
      <c r="Y130" s="124">
        <v>16.23</v>
      </c>
      <c r="Z130" s="124">
        <v>16.23</v>
      </c>
      <c r="AA130" s="124">
        <f t="shared" si="95"/>
        <v>137.95500000000001</v>
      </c>
      <c r="AB130" s="125">
        <f t="shared" si="96"/>
        <v>0</v>
      </c>
      <c r="AC130" s="126">
        <f t="shared" si="97"/>
        <v>137.95500000000001</v>
      </c>
      <c r="AD130" s="127" t="s">
        <v>5</v>
      </c>
      <c r="AE130" s="128"/>
    </row>
    <row r="131" spans="1:31" x14ac:dyDescent="0.25">
      <c r="A131" s="50">
        <v>46131</v>
      </c>
      <c r="B131" s="69"/>
      <c r="C131" s="70"/>
      <c r="D131" s="70"/>
      <c r="E131" s="70"/>
      <c r="F131" s="70"/>
      <c r="G131" s="70"/>
      <c r="H131" s="70"/>
      <c r="I131" s="70"/>
      <c r="J131" s="70"/>
      <c r="K131" s="70"/>
      <c r="L131" s="51">
        <f t="shared" si="92"/>
        <v>0</v>
      </c>
      <c r="M131" s="71"/>
      <c r="N131" s="71">
        <v>10.75</v>
      </c>
      <c r="O131" s="52">
        <f t="shared" si="93"/>
        <v>10.75</v>
      </c>
      <c r="P131" s="72">
        <v>16.23</v>
      </c>
      <c r="Q131" s="73">
        <v>10.75</v>
      </c>
      <c r="R131" s="107"/>
      <c r="S131" s="107"/>
      <c r="T131" s="101"/>
      <c r="U131" s="75"/>
      <c r="V131" s="75"/>
      <c r="W131" s="124">
        <f>SUMPRODUCT(B131:K131,$B$5:K$5)</f>
        <v>0</v>
      </c>
      <c r="X131" s="124">
        <f t="shared" si="94"/>
        <v>174.4725</v>
      </c>
      <c r="Y131" s="124">
        <v>16.23</v>
      </c>
      <c r="Z131" s="124">
        <v>16.23</v>
      </c>
      <c r="AA131" s="124">
        <f t="shared" si="95"/>
        <v>174.4725</v>
      </c>
      <c r="AB131" s="125">
        <f t="shared" si="96"/>
        <v>0</v>
      </c>
      <c r="AC131" s="126">
        <f t="shared" si="97"/>
        <v>174.4725</v>
      </c>
      <c r="AD131" s="127" t="s">
        <v>5</v>
      </c>
      <c r="AE131" s="128"/>
    </row>
    <row r="132" spans="1:31" x14ac:dyDescent="0.25">
      <c r="A132" s="53" t="s">
        <v>31</v>
      </c>
      <c r="B132" s="54">
        <f t="shared" ref="B132:O132" si="98">SUBTOTAL(9,B125:B131)</f>
        <v>0</v>
      </c>
      <c r="C132" s="54">
        <f t="shared" si="98"/>
        <v>0</v>
      </c>
      <c r="D132" s="54">
        <f t="shared" si="98"/>
        <v>0</v>
      </c>
      <c r="E132" s="54">
        <f t="shared" si="98"/>
        <v>0</v>
      </c>
      <c r="F132" s="54">
        <f t="shared" si="98"/>
        <v>0</v>
      </c>
      <c r="G132" s="54">
        <f t="shared" si="98"/>
        <v>0</v>
      </c>
      <c r="H132" s="54">
        <f t="shared" si="98"/>
        <v>0</v>
      </c>
      <c r="I132" s="54">
        <f t="shared" si="98"/>
        <v>0</v>
      </c>
      <c r="J132" s="54">
        <f t="shared" si="98"/>
        <v>0</v>
      </c>
      <c r="K132" s="54">
        <f t="shared" si="98"/>
        <v>0</v>
      </c>
      <c r="L132" s="55">
        <f t="shared" si="98"/>
        <v>0</v>
      </c>
      <c r="M132" s="54">
        <f t="shared" si="98"/>
        <v>0</v>
      </c>
      <c r="N132" s="54">
        <f t="shared" si="98"/>
        <v>71.75</v>
      </c>
      <c r="O132" s="55">
        <f t="shared" si="98"/>
        <v>71.75</v>
      </c>
      <c r="P132" s="56"/>
      <c r="Q132" s="57">
        <f>SUBTOTAL(9,Q125:Q131)</f>
        <v>71.75</v>
      </c>
      <c r="R132" s="92"/>
      <c r="S132" s="92"/>
      <c r="T132" s="102"/>
      <c r="U132" s="81"/>
      <c r="V132" s="81"/>
      <c r="W132" s="129">
        <f>SUBTOTAL(9,W125:W131)</f>
        <v>0</v>
      </c>
      <c r="X132" s="129">
        <f>SUBTOTAL(9,X125:X131)</f>
        <v>1164.5025000000001</v>
      </c>
      <c r="Y132" s="129"/>
      <c r="Z132" s="129"/>
      <c r="AA132" s="129">
        <f>SUBTOTAL(9,AA125:AA131)</f>
        <v>1164.5025000000001</v>
      </c>
      <c r="AB132" s="129">
        <f t="shared" si="96"/>
        <v>0</v>
      </c>
      <c r="AC132" s="129">
        <f t="shared" si="97"/>
        <v>1164.5025000000001</v>
      </c>
      <c r="AD132" s="130"/>
      <c r="AE132" s="129">
        <f>SUBTOTAL(9,AE125:AE131)</f>
        <v>0</v>
      </c>
    </row>
    <row r="133" spans="1:31" customFormat="1" ht="33" customHeight="1" x14ac:dyDescent="0.25">
      <c r="A133" s="45" t="s">
        <v>58</v>
      </c>
      <c r="B133" s="46" t="s">
        <v>59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8"/>
      <c r="P133" s="46"/>
      <c r="Q133" s="46"/>
      <c r="R133" s="91"/>
      <c r="S133" s="91"/>
      <c r="T133" s="91"/>
      <c r="U133" s="80"/>
      <c r="V133" s="80"/>
      <c r="W133" s="48"/>
      <c r="X133" s="48"/>
      <c r="Y133" s="48"/>
      <c r="Z133" s="48"/>
      <c r="AA133" s="49"/>
      <c r="AB133" s="121"/>
      <c r="AC133" s="121"/>
      <c r="AD133" s="122"/>
      <c r="AE133" s="123"/>
    </row>
    <row r="134" spans="1:31" x14ac:dyDescent="0.25">
      <c r="A134" s="50">
        <v>46125</v>
      </c>
      <c r="B134" s="69"/>
      <c r="C134" s="70"/>
      <c r="D134" s="70"/>
      <c r="E134" s="70"/>
      <c r="F134" s="70"/>
      <c r="G134" s="70"/>
      <c r="H134" s="70"/>
      <c r="I134" s="70"/>
      <c r="J134" s="70"/>
      <c r="K134" s="70"/>
      <c r="L134" s="51">
        <f t="shared" ref="L134:L140" si="99">SUM(B134:K134)</f>
        <v>0</v>
      </c>
      <c r="M134" s="71"/>
      <c r="N134" s="71">
        <v>14.5</v>
      </c>
      <c r="O134" s="52">
        <f t="shared" ref="O134:O140" si="100">M134+N134</f>
        <v>14.5</v>
      </c>
      <c r="P134" s="72">
        <v>16.23</v>
      </c>
      <c r="Q134" s="73">
        <v>14.5</v>
      </c>
      <c r="R134" s="107"/>
      <c r="S134" s="107"/>
      <c r="T134" s="101"/>
      <c r="U134" s="75"/>
      <c r="V134" s="75"/>
      <c r="W134" s="124">
        <f>SUMPRODUCT(B134:K134,$B$5:K$5)</f>
        <v>0</v>
      </c>
      <c r="X134" s="124">
        <f t="shared" ref="X134:X140" si="101">N134*P134</f>
        <v>235.33500000000001</v>
      </c>
      <c r="Y134" s="124">
        <v>16.23</v>
      </c>
      <c r="Z134" s="124">
        <v>16.23</v>
      </c>
      <c r="AA134" s="124">
        <f t="shared" ref="AA134:AA140" si="102">(M134*Y134)+(N134*Z134)</f>
        <v>235.33500000000001</v>
      </c>
      <c r="AB134" s="125">
        <f t="shared" ref="AB134:AB141" si="103">MAX(AA134-X134-W134,0)</f>
        <v>0</v>
      </c>
      <c r="AC134" s="126">
        <f t="shared" ref="AC134:AC141" si="104">W134+X134+AB134</f>
        <v>235.33500000000001</v>
      </c>
      <c r="AD134" s="127" t="s">
        <v>5</v>
      </c>
      <c r="AE134" s="128"/>
    </row>
    <row r="135" spans="1:31" x14ac:dyDescent="0.25">
      <c r="A135" s="50">
        <v>46126</v>
      </c>
      <c r="B135" s="69"/>
      <c r="C135" s="70"/>
      <c r="D135" s="70"/>
      <c r="E135" s="70"/>
      <c r="F135" s="70"/>
      <c r="G135" s="70"/>
      <c r="H135" s="70"/>
      <c r="I135" s="70"/>
      <c r="J135" s="70"/>
      <c r="K135" s="70"/>
      <c r="L135" s="51">
        <f t="shared" si="99"/>
        <v>0</v>
      </c>
      <c r="M135" s="71"/>
      <c r="N135" s="71">
        <v>14</v>
      </c>
      <c r="O135" s="52">
        <f t="shared" si="100"/>
        <v>14</v>
      </c>
      <c r="P135" s="72">
        <v>16.23</v>
      </c>
      <c r="Q135" s="73">
        <v>14</v>
      </c>
      <c r="R135" s="107"/>
      <c r="S135" s="107"/>
      <c r="T135" s="101"/>
      <c r="U135" s="75"/>
      <c r="V135" s="75"/>
      <c r="W135" s="124">
        <f>SUMPRODUCT(B135:K135,$B$5:K$5)</f>
        <v>0</v>
      </c>
      <c r="X135" s="124">
        <f t="shared" si="101"/>
        <v>227.22</v>
      </c>
      <c r="Y135" s="124">
        <v>16.23</v>
      </c>
      <c r="Z135" s="124">
        <v>16.23</v>
      </c>
      <c r="AA135" s="124">
        <f t="shared" si="102"/>
        <v>227.22</v>
      </c>
      <c r="AB135" s="125">
        <f t="shared" si="103"/>
        <v>0</v>
      </c>
      <c r="AC135" s="126">
        <f t="shared" si="104"/>
        <v>227.22</v>
      </c>
      <c r="AD135" s="127" t="s">
        <v>5</v>
      </c>
      <c r="AE135" s="128"/>
    </row>
    <row r="136" spans="1:31" x14ac:dyDescent="0.25">
      <c r="A136" s="50">
        <v>46127</v>
      </c>
      <c r="B136" s="69"/>
      <c r="C136" s="70"/>
      <c r="D136" s="70"/>
      <c r="E136" s="70"/>
      <c r="F136" s="70"/>
      <c r="G136" s="70"/>
      <c r="H136" s="70"/>
      <c r="I136" s="70"/>
      <c r="J136" s="70"/>
      <c r="K136" s="70"/>
      <c r="L136" s="51">
        <f t="shared" si="99"/>
        <v>0</v>
      </c>
      <c r="M136" s="71"/>
      <c r="N136" s="71">
        <v>10</v>
      </c>
      <c r="O136" s="52">
        <f t="shared" si="100"/>
        <v>10</v>
      </c>
      <c r="P136" s="72">
        <v>16.23</v>
      </c>
      <c r="Q136" s="73">
        <v>10</v>
      </c>
      <c r="R136" s="107"/>
      <c r="S136" s="107"/>
      <c r="T136" s="101"/>
      <c r="U136" s="75"/>
      <c r="V136" s="75"/>
      <c r="W136" s="124">
        <f>SUMPRODUCT(B136:K136,$B$5:K$5)</f>
        <v>0</v>
      </c>
      <c r="X136" s="124">
        <f t="shared" si="101"/>
        <v>162.30000000000001</v>
      </c>
      <c r="Y136" s="124">
        <v>16.23</v>
      </c>
      <c r="Z136" s="124">
        <v>16.23</v>
      </c>
      <c r="AA136" s="124">
        <f t="shared" si="102"/>
        <v>162.30000000000001</v>
      </c>
      <c r="AB136" s="125">
        <f t="shared" si="103"/>
        <v>0</v>
      </c>
      <c r="AC136" s="126">
        <f t="shared" si="104"/>
        <v>162.30000000000001</v>
      </c>
      <c r="AD136" s="127" t="s">
        <v>5</v>
      </c>
      <c r="AE136" s="128"/>
    </row>
    <row r="137" spans="1:31" x14ac:dyDescent="0.25">
      <c r="A137" s="50">
        <v>46128</v>
      </c>
      <c r="B137" s="69"/>
      <c r="C137" s="70"/>
      <c r="D137" s="70"/>
      <c r="E137" s="70"/>
      <c r="F137" s="70"/>
      <c r="G137" s="70"/>
      <c r="H137" s="70"/>
      <c r="I137" s="70"/>
      <c r="J137" s="70"/>
      <c r="K137" s="70"/>
      <c r="L137" s="51">
        <f t="shared" si="99"/>
        <v>0</v>
      </c>
      <c r="M137" s="71"/>
      <c r="N137" s="71">
        <v>10</v>
      </c>
      <c r="O137" s="52">
        <f t="shared" si="100"/>
        <v>10</v>
      </c>
      <c r="P137" s="72">
        <v>16.23</v>
      </c>
      <c r="Q137" s="73">
        <v>10</v>
      </c>
      <c r="R137" s="107"/>
      <c r="S137" s="107"/>
      <c r="T137" s="101"/>
      <c r="U137" s="75"/>
      <c r="V137" s="75"/>
      <c r="W137" s="124">
        <f>SUMPRODUCT(B137:K137,$B$5:K$5)</f>
        <v>0</v>
      </c>
      <c r="X137" s="124">
        <f t="shared" si="101"/>
        <v>162.30000000000001</v>
      </c>
      <c r="Y137" s="124">
        <v>16.23</v>
      </c>
      <c r="Z137" s="124">
        <v>16.23</v>
      </c>
      <c r="AA137" s="124">
        <f t="shared" si="102"/>
        <v>162.30000000000001</v>
      </c>
      <c r="AB137" s="125">
        <f t="shared" si="103"/>
        <v>0</v>
      </c>
      <c r="AC137" s="126">
        <f t="shared" si="104"/>
        <v>162.30000000000001</v>
      </c>
      <c r="AD137" s="127" t="s">
        <v>5</v>
      </c>
      <c r="AE137" s="128"/>
    </row>
    <row r="138" spans="1:31" x14ac:dyDescent="0.25">
      <c r="A138" s="50">
        <v>46129</v>
      </c>
      <c r="B138" s="69"/>
      <c r="C138" s="70"/>
      <c r="D138" s="70"/>
      <c r="E138" s="70"/>
      <c r="F138" s="70"/>
      <c r="G138" s="70"/>
      <c r="H138" s="70"/>
      <c r="I138" s="70"/>
      <c r="J138" s="70"/>
      <c r="K138" s="70"/>
      <c r="L138" s="51">
        <f t="shared" si="99"/>
        <v>0</v>
      </c>
      <c r="M138" s="71"/>
      <c r="N138" s="71">
        <v>10.5</v>
      </c>
      <c r="O138" s="52">
        <f t="shared" si="100"/>
        <v>10.5</v>
      </c>
      <c r="P138" s="72">
        <v>16.23</v>
      </c>
      <c r="Q138" s="73">
        <v>10.5</v>
      </c>
      <c r="R138" s="107"/>
      <c r="S138" s="107"/>
      <c r="T138" s="101"/>
      <c r="U138" s="75"/>
      <c r="V138" s="75"/>
      <c r="W138" s="124">
        <f>SUMPRODUCT(B138:K138,$B$5:K$5)</f>
        <v>0</v>
      </c>
      <c r="X138" s="124">
        <f t="shared" si="101"/>
        <v>170.41499999999999</v>
      </c>
      <c r="Y138" s="124">
        <v>16.23</v>
      </c>
      <c r="Z138" s="124">
        <v>16.23</v>
      </c>
      <c r="AA138" s="124">
        <f t="shared" si="102"/>
        <v>170.41499999999999</v>
      </c>
      <c r="AB138" s="125">
        <f t="shared" si="103"/>
        <v>0</v>
      </c>
      <c r="AC138" s="126">
        <f t="shared" si="104"/>
        <v>170.41499999999999</v>
      </c>
      <c r="AD138" s="127" t="s">
        <v>5</v>
      </c>
      <c r="AE138" s="128"/>
    </row>
    <row r="139" spans="1:31" x14ac:dyDescent="0.25">
      <c r="A139" s="50">
        <v>46130</v>
      </c>
      <c r="B139" s="69"/>
      <c r="C139" s="70"/>
      <c r="D139" s="70"/>
      <c r="E139" s="70"/>
      <c r="F139" s="70"/>
      <c r="G139" s="70"/>
      <c r="H139" s="70"/>
      <c r="I139" s="70"/>
      <c r="J139" s="70"/>
      <c r="K139" s="70"/>
      <c r="L139" s="51">
        <f t="shared" si="99"/>
        <v>0</v>
      </c>
      <c r="M139" s="71"/>
      <c r="N139" s="71">
        <v>10.5</v>
      </c>
      <c r="O139" s="52">
        <f t="shared" si="100"/>
        <v>10.5</v>
      </c>
      <c r="P139" s="72">
        <v>16.23</v>
      </c>
      <c r="Q139" s="73">
        <v>10.5</v>
      </c>
      <c r="R139" s="107"/>
      <c r="S139" s="107"/>
      <c r="T139" s="101"/>
      <c r="U139" s="75"/>
      <c r="V139" s="75"/>
      <c r="W139" s="124">
        <f>SUMPRODUCT(B139:K139,$B$5:K$5)</f>
        <v>0</v>
      </c>
      <c r="X139" s="124">
        <f t="shared" si="101"/>
        <v>170.41499999999999</v>
      </c>
      <c r="Y139" s="124">
        <v>16.23</v>
      </c>
      <c r="Z139" s="124">
        <v>16.23</v>
      </c>
      <c r="AA139" s="124">
        <f t="shared" si="102"/>
        <v>170.41499999999999</v>
      </c>
      <c r="AB139" s="125">
        <f t="shared" si="103"/>
        <v>0</v>
      </c>
      <c r="AC139" s="126">
        <f t="shared" si="104"/>
        <v>170.41499999999999</v>
      </c>
      <c r="AD139" s="127" t="s">
        <v>5</v>
      </c>
      <c r="AE139" s="128"/>
    </row>
    <row r="140" spans="1:31" x14ac:dyDescent="0.25">
      <c r="A140" s="50">
        <v>46131</v>
      </c>
      <c r="B140" s="69"/>
      <c r="C140" s="70"/>
      <c r="D140" s="70"/>
      <c r="E140" s="70"/>
      <c r="F140" s="70"/>
      <c r="G140" s="70"/>
      <c r="H140" s="70"/>
      <c r="I140" s="70"/>
      <c r="J140" s="70"/>
      <c r="K140" s="70"/>
      <c r="L140" s="51">
        <f t="shared" si="99"/>
        <v>0</v>
      </c>
      <c r="M140" s="71"/>
      <c r="N140" s="71">
        <v>10</v>
      </c>
      <c r="O140" s="52">
        <f t="shared" si="100"/>
        <v>10</v>
      </c>
      <c r="P140" s="72">
        <v>16.23</v>
      </c>
      <c r="Q140" s="73">
        <v>10</v>
      </c>
      <c r="R140" s="107"/>
      <c r="S140" s="107"/>
      <c r="T140" s="101"/>
      <c r="U140" s="75"/>
      <c r="V140" s="75"/>
      <c r="W140" s="124">
        <f>SUMPRODUCT(B140:K140,$B$5:K$5)</f>
        <v>0</v>
      </c>
      <c r="X140" s="124">
        <f t="shared" si="101"/>
        <v>162.30000000000001</v>
      </c>
      <c r="Y140" s="124">
        <v>16.23</v>
      </c>
      <c r="Z140" s="124">
        <v>16.23</v>
      </c>
      <c r="AA140" s="124">
        <f t="shared" si="102"/>
        <v>162.30000000000001</v>
      </c>
      <c r="AB140" s="125">
        <f t="shared" si="103"/>
        <v>0</v>
      </c>
      <c r="AC140" s="126">
        <f t="shared" si="104"/>
        <v>162.30000000000001</v>
      </c>
      <c r="AD140" s="127" t="s">
        <v>5</v>
      </c>
      <c r="AE140" s="128"/>
    </row>
    <row r="141" spans="1:31" x14ac:dyDescent="0.25">
      <c r="A141" s="53" t="s">
        <v>31</v>
      </c>
      <c r="B141" s="54">
        <f t="shared" ref="B141:O141" si="105">SUBTOTAL(9,B134:B140)</f>
        <v>0</v>
      </c>
      <c r="C141" s="54">
        <f t="shared" si="105"/>
        <v>0</v>
      </c>
      <c r="D141" s="54">
        <f t="shared" si="105"/>
        <v>0</v>
      </c>
      <c r="E141" s="54">
        <f t="shared" si="105"/>
        <v>0</v>
      </c>
      <c r="F141" s="54">
        <f t="shared" si="105"/>
        <v>0</v>
      </c>
      <c r="G141" s="54">
        <f t="shared" si="105"/>
        <v>0</v>
      </c>
      <c r="H141" s="54">
        <f t="shared" si="105"/>
        <v>0</v>
      </c>
      <c r="I141" s="54">
        <f t="shared" si="105"/>
        <v>0</v>
      </c>
      <c r="J141" s="54">
        <f t="shared" si="105"/>
        <v>0</v>
      </c>
      <c r="K141" s="54">
        <f t="shared" si="105"/>
        <v>0</v>
      </c>
      <c r="L141" s="55">
        <f t="shared" si="105"/>
        <v>0</v>
      </c>
      <c r="M141" s="54">
        <f t="shared" si="105"/>
        <v>0</v>
      </c>
      <c r="N141" s="54">
        <f t="shared" si="105"/>
        <v>79.5</v>
      </c>
      <c r="O141" s="55">
        <f t="shared" si="105"/>
        <v>79.5</v>
      </c>
      <c r="P141" s="56"/>
      <c r="Q141" s="57">
        <f>SUBTOTAL(9,Q134:Q140)</f>
        <v>79.5</v>
      </c>
      <c r="R141" s="92"/>
      <c r="S141" s="92"/>
      <c r="T141" s="102"/>
      <c r="U141" s="81"/>
      <c r="V141" s="81"/>
      <c r="W141" s="129">
        <f>SUBTOTAL(9,W134:W140)</f>
        <v>0</v>
      </c>
      <c r="X141" s="129">
        <f>SUBTOTAL(9,X134:X140)</f>
        <v>1290.2849999999999</v>
      </c>
      <c r="Y141" s="129"/>
      <c r="Z141" s="129"/>
      <c r="AA141" s="129">
        <f>SUBTOTAL(9,AA134:AA140)</f>
        <v>1290.2849999999999</v>
      </c>
      <c r="AB141" s="129">
        <f t="shared" si="103"/>
        <v>0</v>
      </c>
      <c r="AC141" s="129">
        <f t="shared" si="104"/>
        <v>1290.2849999999999</v>
      </c>
      <c r="AD141" s="130"/>
      <c r="AE141" s="129">
        <f>SUBTOTAL(9,AE134:AE140)</f>
        <v>0</v>
      </c>
    </row>
    <row r="142" spans="1:31" customFormat="1" ht="33" customHeight="1" x14ac:dyDescent="0.25">
      <c r="A142" s="45" t="s">
        <v>60</v>
      </c>
      <c r="B142" s="46" t="s">
        <v>61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7"/>
      <c r="O142" s="48"/>
      <c r="P142" s="46"/>
      <c r="Q142" s="46"/>
      <c r="R142" s="91"/>
      <c r="S142" s="91"/>
      <c r="T142" s="91"/>
      <c r="U142" s="80"/>
      <c r="V142" s="80"/>
      <c r="W142" s="48"/>
      <c r="X142" s="48"/>
      <c r="Y142" s="48"/>
      <c r="Z142" s="48"/>
      <c r="AA142" s="49"/>
      <c r="AB142" s="121"/>
      <c r="AC142" s="121"/>
      <c r="AD142" s="122"/>
      <c r="AE142" s="123"/>
    </row>
    <row r="143" spans="1:31" x14ac:dyDescent="0.25">
      <c r="A143" s="50">
        <v>46125</v>
      </c>
      <c r="B143" s="69"/>
      <c r="C143" s="70"/>
      <c r="D143" s="70"/>
      <c r="E143" s="70"/>
      <c r="F143" s="70"/>
      <c r="G143" s="70"/>
      <c r="H143" s="70"/>
      <c r="I143" s="70"/>
      <c r="J143" s="70"/>
      <c r="K143" s="70"/>
      <c r="L143" s="51">
        <f t="shared" ref="L143:L149" si="106">SUM(B143:K143)</f>
        <v>0</v>
      </c>
      <c r="M143" s="71"/>
      <c r="N143" s="71">
        <v>8</v>
      </c>
      <c r="O143" s="52">
        <f t="shared" ref="O143:O149" si="107">M143+N143</f>
        <v>8</v>
      </c>
      <c r="P143" s="72">
        <v>16.23</v>
      </c>
      <c r="Q143" s="73">
        <v>8</v>
      </c>
      <c r="R143" s="107"/>
      <c r="S143" s="107"/>
      <c r="T143" s="101"/>
      <c r="U143" s="75"/>
      <c r="V143" s="75"/>
      <c r="W143" s="124">
        <f>SUMPRODUCT(B143:K143,$B$5:K$5)</f>
        <v>0</v>
      </c>
      <c r="X143" s="124">
        <f t="shared" ref="X143:X149" si="108">N143*P143</f>
        <v>129.84</v>
      </c>
      <c r="Y143" s="124">
        <v>16.23</v>
      </c>
      <c r="Z143" s="124">
        <v>16.23</v>
      </c>
      <c r="AA143" s="124">
        <f t="shared" ref="AA143:AA149" si="109">(M143*Y143)+(N143*Z143)</f>
        <v>129.84</v>
      </c>
      <c r="AB143" s="125">
        <f t="shared" ref="AB143:AB150" si="110">MAX(AA143-X143-W143,0)</f>
        <v>0</v>
      </c>
      <c r="AC143" s="126">
        <f t="shared" ref="AC143:AC150" si="111">W143+X143+AB143</f>
        <v>129.84</v>
      </c>
      <c r="AD143" s="127" t="s">
        <v>5</v>
      </c>
      <c r="AE143" s="128"/>
    </row>
    <row r="144" spans="1:31" x14ac:dyDescent="0.25">
      <c r="A144" s="50">
        <v>46126</v>
      </c>
      <c r="B144" s="69"/>
      <c r="C144" s="70"/>
      <c r="D144" s="70"/>
      <c r="E144" s="70"/>
      <c r="F144" s="70"/>
      <c r="G144" s="70"/>
      <c r="H144" s="70"/>
      <c r="I144" s="70"/>
      <c r="J144" s="70"/>
      <c r="K144" s="70"/>
      <c r="L144" s="51">
        <f t="shared" si="106"/>
        <v>0</v>
      </c>
      <c r="M144" s="71"/>
      <c r="N144" s="71">
        <v>10</v>
      </c>
      <c r="O144" s="52">
        <f t="shared" si="107"/>
        <v>10</v>
      </c>
      <c r="P144" s="72">
        <v>16.23</v>
      </c>
      <c r="Q144" s="73">
        <v>10</v>
      </c>
      <c r="R144" s="107"/>
      <c r="S144" s="107"/>
      <c r="T144" s="101"/>
      <c r="U144" s="75"/>
      <c r="V144" s="75"/>
      <c r="W144" s="124">
        <f>SUMPRODUCT(B144:K144,$B$5:K$5)</f>
        <v>0</v>
      </c>
      <c r="X144" s="124">
        <f t="shared" si="108"/>
        <v>162.30000000000001</v>
      </c>
      <c r="Y144" s="124">
        <v>16.23</v>
      </c>
      <c r="Z144" s="124">
        <v>16.23</v>
      </c>
      <c r="AA144" s="124">
        <f t="shared" si="109"/>
        <v>162.30000000000001</v>
      </c>
      <c r="AB144" s="125">
        <f t="shared" si="110"/>
        <v>0</v>
      </c>
      <c r="AC144" s="126">
        <f t="shared" si="111"/>
        <v>162.30000000000001</v>
      </c>
      <c r="AD144" s="127" t="s">
        <v>5</v>
      </c>
      <c r="AE144" s="128"/>
    </row>
    <row r="145" spans="1:31" x14ac:dyDescent="0.25">
      <c r="A145" s="50">
        <v>46127</v>
      </c>
      <c r="B145" s="69"/>
      <c r="C145" s="70"/>
      <c r="D145" s="70"/>
      <c r="E145" s="70"/>
      <c r="F145" s="70"/>
      <c r="G145" s="70"/>
      <c r="H145" s="70"/>
      <c r="I145" s="70"/>
      <c r="J145" s="70"/>
      <c r="K145" s="70"/>
      <c r="L145" s="51">
        <f t="shared" si="106"/>
        <v>0</v>
      </c>
      <c r="M145" s="71"/>
      <c r="N145" s="71">
        <v>9</v>
      </c>
      <c r="O145" s="52">
        <f t="shared" si="107"/>
        <v>9</v>
      </c>
      <c r="P145" s="72">
        <v>16.23</v>
      </c>
      <c r="Q145" s="73">
        <v>9</v>
      </c>
      <c r="R145" s="107"/>
      <c r="S145" s="107"/>
      <c r="T145" s="101"/>
      <c r="U145" s="75"/>
      <c r="V145" s="75"/>
      <c r="W145" s="124">
        <f>SUMPRODUCT(B145:K145,$B$5:K$5)</f>
        <v>0</v>
      </c>
      <c r="X145" s="124">
        <f t="shared" si="108"/>
        <v>146.07</v>
      </c>
      <c r="Y145" s="124">
        <v>16.23</v>
      </c>
      <c r="Z145" s="124">
        <v>16.23</v>
      </c>
      <c r="AA145" s="124">
        <f t="shared" si="109"/>
        <v>146.07</v>
      </c>
      <c r="AB145" s="125">
        <f t="shared" si="110"/>
        <v>0</v>
      </c>
      <c r="AC145" s="126">
        <f t="shared" si="111"/>
        <v>146.07</v>
      </c>
      <c r="AD145" s="127" t="s">
        <v>5</v>
      </c>
      <c r="AE145" s="128"/>
    </row>
    <row r="146" spans="1:31" x14ac:dyDescent="0.25">
      <c r="A146" s="50">
        <v>46128</v>
      </c>
      <c r="B146" s="69"/>
      <c r="C146" s="70"/>
      <c r="D146" s="70"/>
      <c r="E146" s="70"/>
      <c r="F146" s="70"/>
      <c r="G146" s="70"/>
      <c r="H146" s="70"/>
      <c r="I146" s="70"/>
      <c r="J146" s="70"/>
      <c r="K146" s="70"/>
      <c r="L146" s="51">
        <f t="shared" si="106"/>
        <v>0</v>
      </c>
      <c r="M146" s="71"/>
      <c r="N146" s="71">
        <v>10</v>
      </c>
      <c r="O146" s="52">
        <f t="shared" si="107"/>
        <v>10</v>
      </c>
      <c r="P146" s="72">
        <v>16.23</v>
      </c>
      <c r="Q146" s="73">
        <v>10</v>
      </c>
      <c r="R146" s="107"/>
      <c r="S146" s="107"/>
      <c r="T146" s="101"/>
      <c r="U146" s="75"/>
      <c r="V146" s="75"/>
      <c r="W146" s="124">
        <f>SUMPRODUCT(B146:K146,$B$5:K$5)</f>
        <v>0</v>
      </c>
      <c r="X146" s="124">
        <f t="shared" si="108"/>
        <v>162.30000000000001</v>
      </c>
      <c r="Y146" s="124">
        <v>16.23</v>
      </c>
      <c r="Z146" s="124">
        <v>16.23</v>
      </c>
      <c r="AA146" s="124">
        <f t="shared" si="109"/>
        <v>162.30000000000001</v>
      </c>
      <c r="AB146" s="125">
        <f t="shared" si="110"/>
        <v>0</v>
      </c>
      <c r="AC146" s="126">
        <f t="shared" si="111"/>
        <v>162.30000000000001</v>
      </c>
      <c r="AD146" s="127" t="s">
        <v>5</v>
      </c>
      <c r="AE146" s="128"/>
    </row>
    <row r="147" spans="1:31" x14ac:dyDescent="0.25">
      <c r="A147" s="50">
        <v>46129</v>
      </c>
      <c r="B147" s="69">
        <v>91.6</v>
      </c>
      <c r="C147" s="70"/>
      <c r="D147" s="70"/>
      <c r="E147" s="70"/>
      <c r="F147" s="70"/>
      <c r="G147" s="70"/>
      <c r="H147" s="70"/>
      <c r="I147" s="70"/>
      <c r="J147" s="70"/>
      <c r="K147" s="70"/>
      <c r="L147" s="51">
        <f t="shared" si="106"/>
        <v>91.6</v>
      </c>
      <c r="M147" s="71">
        <v>6.5</v>
      </c>
      <c r="N147" s="71"/>
      <c r="O147" s="52">
        <f t="shared" si="107"/>
        <v>6.5</v>
      </c>
      <c r="P147" s="72">
        <v>16.23</v>
      </c>
      <c r="Q147" s="73">
        <v>6.5</v>
      </c>
      <c r="R147" s="107"/>
      <c r="S147" s="107"/>
      <c r="T147" s="101"/>
      <c r="U147" s="75"/>
      <c r="V147" s="75"/>
      <c r="W147" s="124">
        <f>SUMPRODUCT(B147:K147,$B$5:K$5)</f>
        <v>91.6</v>
      </c>
      <c r="X147" s="124">
        <f t="shared" si="108"/>
        <v>0</v>
      </c>
      <c r="Y147" s="124">
        <v>16.23</v>
      </c>
      <c r="Z147" s="124">
        <v>16.23</v>
      </c>
      <c r="AA147" s="124">
        <f t="shared" si="109"/>
        <v>105.495</v>
      </c>
      <c r="AB147" s="125">
        <f t="shared" si="110"/>
        <v>13.89500000000001</v>
      </c>
      <c r="AC147" s="126">
        <f t="shared" si="111"/>
        <v>105.495</v>
      </c>
      <c r="AD147" s="127" t="s">
        <v>5</v>
      </c>
      <c r="AE147" s="128"/>
    </row>
    <row r="148" spans="1:31" x14ac:dyDescent="0.25">
      <c r="A148" s="50">
        <v>46130</v>
      </c>
      <c r="B148" s="69">
        <v>47.92</v>
      </c>
      <c r="C148" s="70"/>
      <c r="D148" s="70"/>
      <c r="E148" s="70"/>
      <c r="F148" s="70"/>
      <c r="G148" s="70"/>
      <c r="H148" s="70"/>
      <c r="I148" s="70"/>
      <c r="J148" s="70"/>
      <c r="K148" s="70"/>
      <c r="L148" s="51">
        <f t="shared" si="106"/>
        <v>47.92</v>
      </c>
      <c r="M148" s="71">
        <v>3</v>
      </c>
      <c r="N148" s="71"/>
      <c r="O148" s="52">
        <f t="shared" si="107"/>
        <v>3</v>
      </c>
      <c r="P148" s="72">
        <v>16.23</v>
      </c>
      <c r="Q148" s="73">
        <v>3</v>
      </c>
      <c r="R148" s="107"/>
      <c r="S148" s="107"/>
      <c r="T148" s="101"/>
      <c r="U148" s="75"/>
      <c r="V148" s="75"/>
      <c r="W148" s="124">
        <f>SUMPRODUCT(B148:K148,$B$5:K$5)</f>
        <v>47.92</v>
      </c>
      <c r="X148" s="124">
        <f t="shared" si="108"/>
        <v>0</v>
      </c>
      <c r="Y148" s="124">
        <v>16.23</v>
      </c>
      <c r="Z148" s="124">
        <v>16.23</v>
      </c>
      <c r="AA148" s="124">
        <f t="shared" si="109"/>
        <v>48.69</v>
      </c>
      <c r="AB148" s="125">
        <f t="shared" si="110"/>
        <v>0.76999999999999602</v>
      </c>
      <c r="AC148" s="126">
        <f t="shared" si="111"/>
        <v>48.69</v>
      </c>
      <c r="AD148" s="127" t="s">
        <v>5</v>
      </c>
      <c r="AE148" s="128"/>
    </row>
    <row r="149" spans="1:31" x14ac:dyDescent="0.25">
      <c r="A149" s="50">
        <v>46131</v>
      </c>
      <c r="B149" s="69"/>
      <c r="C149" s="70"/>
      <c r="D149" s="70"/>
      <c r="E149" s="70"/>
      <c r="F149" s="70"/>
      <c r="G149" s="70"/>
      <c r="H149" s="70"/>
      <c r="I149" s="70"/>
      <c r="J149" s="70"/>
      <c r="K149" s="70"/>
      <c r="L149" s="51">
        <f t="shared" si="106"/>
        <v>0</v>
      </c>
      <c r="M149" s="71"/>
      <c r="N149" s="71"/>
      <c r="O149" s="52">
        <f t="shared" si="107"/>
        <v>0</v>
      </c>
      <c r="P149" s="72">
        <v>16.23</v>
      </c>
      <c r="Q149" s="73"/>
      <c r="R149" s="107"/>
      <c r="S149" s="107"/>
      <c r="T149" s="101"/>
      <c r="U149" s="75"/>
      <c r="V149" s="75"/>
      <c r="W149" s="124">
        <f>SUMPRODUCT(B149:K149,$B$5:K$5)</f>
        <v>0</v>
      </c>
      <c r="X149" s="124">
        <f t="shared" si="108"/>
        <v>0</v>
      </c>
      <c r="Y149" s="124">
        <v>16.23</v>
      </c>
      <c r="Z149" s="124">
        <v>16.23</v>
      </c>
      <c r="AA149" s="124">
        <f t="shared" si="109"/>
        <v>0</v>
      </c>
      <c r="AB149" s="125">
        <f t="shared" si="110"/>
        <v>0</v>
      </c>
      <c r="AC149" s="126">
        <f t="shared" si="111"/>
        <v>0</v>
      </c>
      <c r="AD149" s="127" t="s">
        <v>5</v>
      </c>
      <c r="AE149" s="128"/>
    </row>
    <row r="150" spans="1:31" x14ac:dyDescent="0.25">
      <c r="A150" s="53" t="s">
        <v>31</v>
      </c>
      <c r="B150" s="54">
        <f t="shared" ref="B150:O150" si="112">SUBTOTAL(9,B143:B149)</f>
        <v>139.51999999999998</v>
      </c>
      <c r="C150" s="54">
        <f t="shared" si="112"/>
        <v>0</v>
      </c>
      <c r="D150" s="54">
        <f t="shared" si="112"/>
        <v>0</v>
      </c>
      <c r="E150" s="54">
        <f t="shared" si="112"/>
        <v>0</v>
      </c>
      <c r="F150" s="54">
        <f t="shared" si="112"/>
        <v>0</v>
      </c>
      <c r="G150" s="54">
        <f t="shared" si="112"/>
        <v>0</v>
      </c>
      <c r="H150" s="54">
        <f t="shared" si="112"/>
        <v>0</v>
      </c>
      <c r="I150" s="54">
        <f t="shared" si="112"/>
        <v>0</v>
      </c>
      <c r="J150" s="54">
        <f t="shared" si="112"/>
        <v>0</v>
      </c>
      <c r="K150" s="54">
        <f t="shared" si="112"/>
        <v>0</v>
      </c>
      <c r="L150" s="55">
        <f t="shared" si="112"/>
        <v>139.51999999999998</v>
      </c>
      <c r="M150" s="54">
        <f t="shared" si="112"/>
        <v>9.5</v>
      </c>
      <c r="N150" s="54">
        <f t="shared" si="112"/>
        <v>37</v>
      </c>
      <c r="O150" s="55">
        <f t="shared" si="112"/>
        <v>46.5</v>
      </c>
      <c r="P150" s="56"/>
      <c r="Q150" s="57">
        <f>SUBTOTAL(9,Q143:Q149)</f>
        <v>46.5</v>
      </c>
      <c r="R150" s="92"/>
      <c r="S150" s="92"/>
      <c r="T150" s="102"/>
      <c r="U150" s="81"/>
      <c r="V150" s="81"/>
      <c r="W150" s="129">
        <f>SUBTOTAL(9,W143:W149)</f>
        <v>139.51999999999998</v>
      </c>
      <c r="X150" s="129">
        <f>SUBTOTAL(9,X143:X149)</f>
        <v>600.51</v>
      </c>
      <c r="Y150" s="129"/>
      <c r="Z150" s="129"/>
      <c r="AA150" s="129">
        <f>SUBTOTAL(9,AA143:AA149)</f>
        <v>754.69499999999994</v>
      </c>
      <c r="AB150" s="129">
        <f t="shared" si="110"/>
        <v>14.664999999999964</v>
      </c>
      <c r="AC150" s="129">
        <f t="shared" si="111"/>
        <v>754.69499999999994</v>
      </c>
      <c r="AD150" s="130"/>
      <c r="AE150" s="129">
        <f>SUBTOTAL(9,AE143:AE149)</f>
        <v>0</v>
      </c>
    </row>
    <row r="151" spans="1:31" customFormat="1" ht="33" customHeight="1" x14ac:dyDescent="0.25">
      <c r="A151" s="45" t="s">
        <v>62</v>
      </c>
      <c r="B151" s="46" t="s">
        <v>63</v>
      </c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7"/>
      <c r="O151" s="48"/>
      <c r="P151" s="46"/>
      <c r="Q151" s="46"/>
      <c r="R151" s="91"/>
      <c r="S151" s="91"/>
      <c r="T151" s="91"/>
      <c r="U151" s="80"/>
      <c r="V151" s="80"/>
      <c r="W151" s="48"/>
      <c r="X151" s="48"/>
      <c r="Y151" s="48"/>
      <c r="Z151" s="48"/>
      <c r="AA151" s="49"/>
      <c r="AB151" s="121"/>
      <c r="AC151" s="121"/>
      <c r="AD151" s="122"/>
      <c r="AE151" s="123"/>
    </row>
    <row r="152" spans="1:31" x14ac:dyDescent="0.25">
      <c r="A152" s="50">
        <v>46125</v>
      </c>
      <c r="B152" s="69"/>
      <c r="C152" s="70"/>
      <c r="D152" s="70"/>
      <c r="E152" s="70"/>
      <c r="F152" s="70"/>
      <c r="G152" s="70"/>
      <c r="H152" s="70"/>
      <c r="I152" s="70"/>
      <c r="J152" s="70"/>
      <c r="K152" s="70"/>
      <c r="L152" s="51">
        <f t="shared" ref="L152:L158" si="113">SUM(B152:K152)</f>
        <v>0</v>
      </c>
      <c r="M152" s="71"/>
      <c r="N152" s="71">
        <v>8.5</v>
      </c>
      <c r="O152" s="52">
        <f t="shared" ref="O152:O158" si="114">M152+N152</f>
        <v>8.5</v>
      </c>
      <c r="P152" s="72">
        <v>16.23</v>
      </c>
      <c r="Q152" s="73">
        <v>8.5</v>
      </c>
      <c r="R152" s="107"/>
      <c r="S152" s="107"/>
      <c r="T152" s="101"/>
      <c r="U152" s="75"/>
      <c r="V152" s="75"/>
      <c r="W152" s="124">
        <f>SUMPRODUCT(B152:K152,$B$5:K$5)</f>
        <v>0</v>
      </c>
      <c r="X152" s="124">
        <f t="shared" ref="X152:X158" si="115">N152*P152</f>
        <v>137.95500000000001</v>
      </c>
      <c r="Y152" s="124">
        <v>16.23</v>
      </c>
      <c r="Z152" s="124">
        <v>16.23</v>
      </c>
      <c r="AA152" s="124">
        <f t="shared" ref="AA152:AA158" si="116">(M152*Y152)+(N152*Z152)</f>
        <v>137.95500000000001</v>
      </c>
      <c r="AB152" s="125">
        <f t="shared" ref="AB152:AB159" si="117">MAX(AA152-X152-W152,0)</f>
        <v>0</v>
      </c>
      <c r="AC152" s="126">
        <f t="shared" ref="AC152:AC159" si="118">W152+X152+AB152</f>
        <v>137.95500000000001</v>
      </c>
      <c r="AD152" s="127" t="s">
        <v>5</v>
      </c>
      <c r="AE152" s="128"/>
    </row>
    <row r="153" spans="1:31" x14ac:dyDescent="0.25">
      <c r="A153" s="50">
        <v>46126</v>
      </c>
      <c r="B153" s="69"/>
      <c r="C153" s="70"/>
      <c r="D153" s="70"/>
      <c r="E153" s="70"/>
      <c r="F153" s="70"/>
      <c r="G153" s="70"/>
      <c r="H153" s="70"/>
      <c r="I153" s="70"/>
      <c r="J153" s="70"/>
      <c r="K153" s="70"/>
      <c r="L153" s="51">
        <f t="shared" si="113"/>
        <v>0</v>
      </c>
      <c r="M153" s="71"/>
      <c r="N153" s="71">
        <v>8</v>
      </c>
      <c r="O153" s="52">
        <f t="shared" si="114"/>
        <v>8</v>
      </c>
      <c r="P153" s="72">
        <v>16.23</v>
      </c>
      <c r="Q153" s="73">
        <v>8</v>
      </c>
      <c r="R153" s="107"/>
      <c r="S153" s="107"/>
      <c r="T153" s="101"/>
      <c r="U153" s="75"/>
      <c r="V153" s="75"/>
      <c r="W153" s="124">
        <f>SUMPRODUCT(B153:K153,$B$5:K$5)</f>
        <v>0</v>
      </c>
      <c r="X153" s="124">
        <f t="shared" si="115"/>
        <v>129.84</v>
      </c>
      <c r="Y153" s="124">
        <v>16.23</v>
      </c>
      <c r="Z153" s="124">
        <v>16.23</v>
      </c>
      <c r="AA153" s="124">
        <f t="shared" si="116"/>
        <v>129.84</v>
      </c>
      <c r="AB153" s="125">
        <f t="shared" si="117"/>
        <v>0</v>
      </c>
      <c r="AC153" s="126">
        <f t="shared" si="118"/>
        <v>129.84</v>
      </c>
      <c r="AD153" s="127" t="s">
        <v>5</v>
      </c>
      <c r="AE153" s="128"/>
    </row>
    <row r="154" spans="1:31" x14ac:dyDescent="0.25">
      <c r="A154" s="50">
        <v>46127</v>
      </c>
      <c r="B154" s="69"/>
      <c r="C154" s="70"/>
      <c r="D154" s="70"/>
      <c r="E154" s="70"/>
      <c r="F154" s="70"/>
      <c r="G154" s="70"/>
      <c r="H154" s="70"/>
      <c r="I154" s="70"/>
      <c r="J154" s="70"/>
      <c r="K154" s="70"/>
      <c r="L154" s="51">
        <f t="shared" si="113"/>
        <v>0</v>
      </c>
      <c r="M154" s="71"/>
      <c r="N154" s="71">
        <v>8.5</v>
      </c>
      <c r="O154" s="52">
        <f t="shared" si="114"/>
        <v>8.5</v>
      </c>
      <c r="P154" s="72">
        <v>16.23</v>
      </c>
      <c r="Q154" s="73">
        <v>8.5</v>
      </c>
      <c r="R154" s="107"/>
      <c r="S154" s="107"/>
      <c r="T154" s="101"/>
      <c r="U154" s="75"/>
      <c r="V154" s="75"/>
      <c r="W154" s="124">
        <f>SUMPRODUCT(B154:K154,$B$5:K$5)</f>
        <v>0</v>
      </c>
      <c r="X154" s="124">
        <f t="shared" si="115"/>
        <v>137.95500000000001</v>
      </c>
      <c r="Y154" s="124">
        <v>16.23</v>
      </c>
      <c r="Z154" s="124">
        <v>16.23</v>
      </c>
      <c r="AA154" s="124">
        <f t="shared" si="116"/>
        <v>137.95500000000001</v>
      </c>
      <c r="AB154" s="125">
        <f t="shared" si="117"/>
        <v>0</v>
      </c>
      <c r="AC154" s="126">
        <f t="shared" si="118"/>
        <v>137.95500000000001</v>
      </c>
      <c r="AD154" s="127" t="s">
        <v>5</v>
      </c>
      <c r="AE154" s="128"/>
    </row>
    <row r="155" spans="1:31" x14ac:dyDescent="0.25">
      <c r="A155" s="50">
        <v>46128</v>
      </c>
      <c r="B155" s="69"/>
      <c r="C155" s="70"/>
      <c r="D155" s="70"/>
      <c r="E155" s="70"/>
      <c r="F155" s="70"/>
      <c r="G155" s="70"/>
      <c r="H155" s="70"/>
      <c r="I155" s="70"/>
      <c r="J155" s="70"/>
      <c r="K155" s="70"/>
      <c r="L155" s="51">
        <f t="shared" si="113"/>
        <v>0</v>
      </c>
      <c r="M155" s="71"/>
      <c r="N155" s="71">
        <v>10</v>
      </c>
      <c r="O155" s="52">
        <f t="shared" si="114"/>
        <v>10</v>
      </c>
      <c r="P155" s="72">
        <v>16.23</v>
      </c>
      <c r="Q155" s="73">
        <v>10</v>
      </c>
      <c r="R155" s="107"/>
      <c r="S155" s="107"/>
      <c r="T155" s="101"/>
      <c r="U155" s="75"/>
      <c r="V155" s="75"/>
      <c r="W155" s="124">
        <f>SUMPRODUCT(B155:K155,$B$5:K$5)</f>
        <v>0</v>
      </c>
      <c r="X155" s="124">
        <f t="shared" si="115"/>
        <v>162.30000000000001</v>
      </c>
      <c r="Y155" s="124">
        <v>16.23</v>
      </c>
      <c r="Z155" s="124">
        <v>16.23</v>
      </c>
      <c r="AA155" s="124">
        <f t="shared" si="116"/>
        <v>162.30000000000001</v>
      </c>
      <c r="AB155" s="125">
        <f t="shared" si="117"/>
        <v>0</v>
      </c>
      <c r="AC155" s="126">
        <f t="shared" si="118"/>
        <v>162.30000000000001</v>
      </c>
      <c r="AD155" s="127" t="s">
        <v>5</v>
      </c>
      <c r="AE155" s="128"/>
    </row>
    <row r="156" spans="1:31" x14ac:dyDescent="0.25">
      <c r="A156" s="50">
        <v>46129</v>
      </c>
      <c r="B156" s="69">
        <v>91.6</v>
      </c>
      <c r="C156" s="70"/>
      <c r="D156" s="70"/>
      <c r="E156" s="70"/>
      <c r="F156" s="70"/>
      <c r="G156" s="70"/>
      <c r="H156" s="70"/>
      <c r="I156" s="70"/>
      <c r="J156" s="70"/>
      <c r="K156" s="70"/>
      <c r="L156" s="51">
        <f t="shared" si="113"/>
        <v>91.6</v>
      </c>
      <c r="M156" s="71">
        <v>6.5</v>
      </c>
      <c r="N156" s="71"/>
      <c r="O156" s="52">
        <f t="shared" si="114"/>
        <v>6.5</v>
      </c>
      <c r="P156" s="72">
        <v>16.23</v>
      </c>
      <c r="Q156" s="73">
        <v>6.5</v>
      </c>
      <c r="R156" s="107"/>
      <c r="S156" s="107"/>
      <c r="T156" s="101"/>
      <c r="U156" s="75"/>
      <c r="V156" s="75"/>
      <c r="W156" s="124">
        <f>SUMPRODUCT(B156:K156,$B$5:K$5)</f>
        <v>91.6</v>
      </c>
      <c r="X156" s="124">
        <f t="shared" si="115"/>
        <v>0</v>
      </c>
      <c r="Y156" s="124">
        <v>16.23</v>
      </c>
      <c r="Z156" s="124">
        <v>16.23</v>
      </c>
      <c r="AA156" s="124">
        <f t="shared" si="116"/>
        <v>105.495</v>
      </c>
      <c r="AB156" s="125">
        <f t="shared" si="117"/>
        <v>13.89500000000001</v>
      </c>
      <c r="AC156" s="126">
        <f t="shared" si="118"/>
        <v>105.495</v>
      </c>
      <c r="AD156" s="127" t="s">
        <v>5</v>
      </c>
      <c r="AE156" s="128"/>
    </row>
    <row r="157" spans="1:31" x14ac:dyDescent="0.25">
      <c r="A157" s="50">
        <v>46130</v>
      </c>
      <c r="B157" s="69">
        <v>47.92</v>
      </c>
      <c r="C157" s="70"/>
      <c r="D157" s="70"/>
      <c r="E157" s="70"/>
      <c r="F157" s="70"/>
      <c r="G157" s="70"/>
      <c r="H157" s="70"/>
      <c r="I157" s="70"/>
      <c r="J157" s="70"/>
      <c r="K157" s="70"/>
      <c r="L157" s="51">
        <f t="shared" si="113"/>
        <v>47.92</v>
      </c>
      <c r="M157" s="71">
        <v>3</v>
      </c>
      <c r="N157" s="71"/>
      <c r="O157" s="52">
        <f t="shared" si="114"/>
        <v>3</v>
      </c>
      <c r="P157" s="72">
        <v>16.23</v>
      </c>
      <c r="Q157" s="73">
        <v>3</v>
      </c>
      <c r="R157" s="107"/>
      <c r="S157" s="107"/>
      <c r="T157" s="101"/>
      <c r="U157" s="75"/>
      <c r="V157" s="75"/>
      <c r="W157" s="124">
        <f>SUMPRODUCT(B157:K157,$B$5:K$5)</f>
        <v>47.92</v>
      </c>
      <c r="X157" s="124">
        <f t="shared" si="115"/>
        <v>0</v>
      </c>
      <c r="Y157" s="124">
        <v>16.23</v>
      </c>
      <c r="Z157" s="124">
        <v>16.23</v>
      </c>
      <c r="AA157" s="124">
        <f t="shared" si="116"/>
        <v>48.69</v>
      </c>
      <c r="AB157" s="125">
        <f t="shared" si="117"/>
        <v>0.76999999999999602</v>
      </c>
      <c r="AC157" s="126">
        <f t="shared" si="118"/>
        <v>48.69</v>
      </c>
      <c r="AD157" s="127" t="s">
        <v>5</v>
      </c>
      <c r="AE157" s="128"/>
    </row>
    <row r="158" spans="1:31" x14ac:dyDescent="0.25">
      <c r="A158" s="50">
        <v>46131</v>
      </c>
      <c r="B158" s="69"/>
      <c r="C158" s="70"/>
      <c r="D158" s="70"/>
      <c r="E158" s="70"/>
      <c r="F158" s="70"/>
      <c r="G158" s="70"/>
      <c r="H158" s="70"/>
      <c r="I158" s="70"/>
      <c r="J158" s="70"/>
      <c r="K158" s="70"/>
      <c r="L158" s="51">
        <f t="shared" si="113"/>
        <v>0</v>
      </c>
      <c r="M158" s="71"/>
      <c r="N158" s="71"/>
      <c r="O158" s="52">
        <f t="shared" si="114"/>
        <v>0</v>
      </c>
      <c r="P158" s="72">
        <v>16.23</v>
      </c>
      <c r="Q158" s="73"/>
      <c r="R158" s="107"/>
      <c r="S158" s="107"/>
      <c r="T158" s="101"/>
      <c r="U158" s="75"/>
      <c r="V158" s="75"/>
      <c r="W158" s="124">
        <f>SUMPRODUCT(B158:K158,$B$5:K$5)</f>
        <v>0</v>
      </c>
      <c r="X158" s="124">
        <f t="shared" si="115"/>
        <v>0</v>
      </c>
      <c r="Y158" s="124">
        <v>16.23</v>
      </c>
      <c r="Z158" s="124">
        <v>16.23</v>
      </c>
      <c r="AA158" s="124">
        <f t="shared" si="116"/>
        <v>0</v>
      </c>
      <c r="AB158" s="125">
        <f t="shared" si="117"/>
        <v>0</v>
      </c>
      <c r="AC158" s="126">
        <f t="shared" si="118"/>
        <v>0</v>
      </c>
      <c r="AD158" s="127" t="s">
        <v>5</v>
      </c>
      <c r="AE158" s="128"/>
    </row>
    <row r="159" spans="1:31" x14ac:dyDescent="0.25">
      <c r="A159" s="53" t="s">
        <v>31</v>
      </c>
      <c r="B159" s="54">
        <f t="shared" ref="B159:O159" si="119">SUBTOTAL(9,B152:B158)</f>
        <v>139.51999999999998</v>
      </c>
      <c r="C159" s="54">
        <f t="shared" si="119"/>
        <v>0</v>
      </c>
      <c r="D159" s="54">
        <f t="shared" si="119"/>
        <v>0</v>
      </c>
      <c r="E159" s="54">
        <f t="shared" si="119"/>
        <v>0</v>
      </c>
      <c r="F159" s="54">
        <f t="shared" si="119"/>
        <v>0</v>
      </c>
      <c r="G159" s="54">
        <f t="shared" si="119"/>
        <v>0</v>
      </c>
      <c r="H159" s="54">
        <f t="shared" si="119"/>
        <v>0</v>
      </c>
      <c r="I159" s="54">
        <f t="shared" si="119"/>
        <v>0</v>
      </c>
      <c r="J159" s="54">
        <f t="shared" si="119"/>
        <v>0</v>
      </c>
      <c r="K159" s="54">
        <f t="shared" si="119"/>
        <v>0</v>
      </c>
      <c r="L159" s="55">
        <f t="shared" si="119"/>
        <v>139.51999999999998</v>
      </c>
      <c r="M159" s="54">
        <f t="shared" si="119"/>
        <v>9.5</v>
      </c>
      <c r="N159" s="54">
        <f t="shared" si="119"/>
        <v>35</v>
      </c>
      <c r="O159" s="55">
        <f t="shared" si="119"/>
        <v>44.5</v>
      </c>
      <c r="P159" s="56"/>
      <c r="Q159" s="57">
        <f>SUBTOTAL(9,Q152:Q158)</f>
        <v>44.5</v>
      </c>
      <c r="R159" s="92"/>
      <c r="S159" s="92"/>
      <c r="T159" s="102"/>
      <c r="U159" s="81"/>
      <c r="V159" s="81"/>
      <c r="W159" s="129">
        <f>SUBTOTAL(9,W152:W158)</f>
        <v>139.51999999999998</v>
      </c>
      <c r="X159" s="129">
        <f>SUBTOTAL(9,X152:X158)</f>
        <v>568.04999999999995</v>
      </c>
      <c r="Y159" s="129"/>
      <c r="Z159" s="129"/>
      <c r="AA159" s="129">
        <f>SUBTOTAL(9,AA152:AA158)</f>
        <v>722.2349999999999</v>
      </c>
      <c r="AB159" s="129">
        <f t="shared" si="117"/>
        <v>14.664999999999964</v>
      </c>
      <c r="AC159" s="129">
        <f t="shared" si="118"/>
        <v>722.2349999999999</v>
      </c>
      <c r="AD159" s="130"/>
      <c r="AE159" s="129">
        <f>SUBTOTAL(9,AE152:AE158)</f>
        <v>0</v>
      </c>
    </row>
    <row r="160" spans="1:31" customFormat="1" ht="33" customHeight="1" x14ac:dyDescent="0.25">
      <c r="A160" s="45" t="s">
        <v>64</v>
      </c>
      <c r="B160" s="46" t="s">
        <v>65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7"/>
      <c r="O160" s="48"/>
      <c r="P160" s="46"/>
      <c r="Q160" s="46"/>
      <c r="R160" s="91"/>
      <c r="S160" s="91"/>
      <c r="T160" s="91"/>
      <c r="U160" s="80"/>
      <c r="V160" s="80"/>
      <c r="W160" s="48"/>
      <c r="X160" s="48"/>
      <c r="Y160" s="48"/>
      <c r="Z160" s="48"/>
      <c r="AA160" s="49"/>
      <c r="AB160" s="121"/>
      <c r="AC160" s="121"/>
      <c r="AD160" s="122"/>
      <c r="AE160" s="123"/>
    </row>
    <row r="161" spans="1:31" x14ac:dyDescent="0.25">
      <c r="A161" s="50">
        <v>46125</v>
      </c>
      <c r="B161" s="69"/>
      <c r="C161" s="70"/>
      <c r="D161" s="70"/>
      <c r="E161" s="70"/>
      <c r="F161" s="70"/>
      <c r="G161" s="70"/>
      <c r="H161" s="70"/>
      <c r="I161" s="70"/>
      <c r="J161" s="70"/>
      <c r="K161" s="70"/>
      <c r="L161" s="51">
        <f t="shared" ref="L161:L167" si="120">SUM(B161:K161)</f>
        <v>0</v>
      </c>
      <c r="M161" s="71"/>
      <c r="N161" s="71">
        <v>14</v>
      </c>
      <c r="O161" s="52">
        <f t="shared" ref="O161:O167" si="121">M161+N161</f>
        <v>14</v>
      </c>
      <c r="P161" s="72">
        <v>14</v>
      </c>
      <c r="Q161" s="73">
        <v>14</v>
      </c>
      <c r="R161" s="107"/>
      <c r="S161" s="107"/>
      <c r="T161" s="101"/>
      <c r="U161" s="75"/>
      <c r="V161" s="75"/>
      <c r="W161" s="124">
        <f>SUMPRODUCT(B161:K161,$B$5:K$5)</f>
        <v>0</v>
      </c>
      <c r="X161" s="124">
        <f t="shared" ref="X161:X167" si="122">N161*P161</f>
        <v>196</v>
      </c>
      <c r="Y161" s="124">
        <v>14</v>
      </c>
      <c r="Z161" s="124">
        <v>14</v>
      </c>
      <c r="AA161" s="124">
        <f t="shared" ref="AA161:AA167" si="123">(M161*Y161)+(N161*Z161)</f>
        <v>196</v>
      </c>
      <c r="AB161" s="125">
        <f t="shared" ref="AB161:AB168" si="124">MAX(AA161-X161-W161,0)</f>
        <v>0</v>
      </c>
      <c r="AC161" s="126">
        <f t="shared" ref="AC161:AC168" si="125">W161+X161+AB161</f>
        <v>196</v>
      </c>
      <c r="AD161" s="127" t="s">
        <v>5</v>
      </c>
      <c r="AE161" s="128"/>
    </row>
    <row r="162" spans="1:31" x14ac:dyDescent="0.25">
      <c r="A162" s="50">
        <v>46126</v>
      </c>
      <c r="B162" s="69"/>
      <c r="C162" s="70"/>
      <c r="D162" s="70"/>
      <c r="E162" s="70"/>
      <c r="F162" s="70"/>
      <c r="G162" s="70"/>
      <c r="H162" s="70"/>
      <c r="I162" s="70"/>
      <c r="J162" s="70"/>
      <c r="K162" s="70"/>
      <c r="L162" s="51">
        <f t="shared" si="120"/>
        <v>0</v>
      </c>
      <c r="M162" s="71"/>
      <c r="N162" s="71">
        <v>13.5</v>
      </c>
      <c r="O162" s="52">
        <f t="shared" si="121"/>
        <v>13.5</v>
      </c>
      <c r="P162" s="72">
        <v>14</v>
      </c>
      <c r="Q162" s="73">
        <v>13.5</v>
      </c>
      <c r="R162" s="107"/>
      <c r="S162" s="107"/>
      <c r="T162" s="101"/>
      <c r="U162" s="75"/>
      <c r="V162" s="75"/>
      <c r="W162" s="124">
        <f>SUMPRODUCT(B162:K162,$B$5:K$5)</f>
        <v>0</v>
      </c>
      <c r="X162" s="124">
        <f t="shared" si="122"/>
        <v>189</v>
      </c>
      <c r="Y162" s="124">
        <v>14</v>
      </c>
      <c r="Z162" s="124">
        <v>14</v>
      </c>
      <c r="AA162" s="124">
        <f t="shared" si="123"/>
        <v>189</v>
      </c>
      <c r="AB162" s="125">
        <f t="shared" si="124"/>
        <v>0</v>
      </c>
      <c r="AC162" s="126">
        <f t="shared" si="125"/>
        <v>189</v>
      </c>
      <c r="AD162" s="127" t="s">
        <v>5</v>
      </c>
      <c r="AE162" s="128"/>
    </row>
    <row r="163" spans="1:31" x14ac:dyDescent="0.25">
      <c r="A163" s="50">
        <v>46127</v>
      </c>
      <c r="B163" s="69"/>
      <c r="C163" s="70"/>
      <c r="D163" s="70"/>
      <c r="E163" s="70"/>
      <c r="F163" s="70"/>
      <c r="G163" s="70"/>
      <c r="H163" s="70"/>
      <c r="I163" s="70"/>
      <c r="J163" s="70"/>
      <c r="K163" s="70"/>
      <c r="L163" s="51">
        <f t="shared" si="120"/>
        <v>0</v>
      </c>
      <c r="M163" s="71"/>
      <c r="N163" s="71">
        <v>12.5</v>
      </c>
      <c r="O163" s="52">
        <f t="shared" si="121"/>
        <v>12.5</v>
      </c>
      <c r="P163" s="72">
        <v>14</v>
      </c>
      <c r="Q163" s="73">
        <v>12.5</v>
      </c>
      <c r="R163" s="107"/>
      <c r="S163" s="107"/>
      <c r="T163" s="101"/>
      <c r="U163" s="75"/>
      <c r="V163" s="75"/>
      <c r="W163" s="124">
        <f>SUMPRODUCT(B163:K163,$B$5:K$5)</f>
        <v>0</v>
      </c>
      <c r="X163" s="124">
        <f t="shared" si="122"/>
        <v>175</v>
      </c>
      <c r="Y163" s="124">
        <v>14</v>
      </c>
      <c r="Z163" s="124">
        <v>14</v>
      </c>
      <c r="AA163" s="124">
        <f t="shared" si="123"/>
        <v>175</v>
      </c>
      <c r="AB163" s="125">
        <f t="shared" si="124"/>
        <v>0</v>
      </c>
      <c r="AC163" s="126">
        <f t="shared" si="125"/>
        <v>175</v>
      </c>
      <c r="AD163" s="127" t="s">
        <v>5</v>
      </c>
      <c r="AE163" s="128"/>
    </row>
    <row r="164" spans="1:31" x14ac:dyDescent="0.25">
      <c r="A164" s="50">
        <v>46128</v>
      </c>
      <c r="B164" s="69"/>
      <c r="C164" s="70"/>
      <c r="D164" s="70"/>
      <c r="E164" s="70"/>
      <c r="F164" s="70"/>
      <c r="G164" s="70"/>
      <c r="H164" s="70"/>
      <c r="I164" s="70"/>
      <c r="J164" s="70"/>
      <c r="K164" s="70"/>
      <c r="L164" s="51">
        <f t="shared" si="120"/>
        <v>0</v>
      </c>
      <c r="M164" s="71"/>
      <c r="N164" s="71">
        <v>10.5</v>
      </c>
      <c r="O164" s="52">
        <f t="shared" si="121"/>
        <v>10.5</v>
      </c>
      <c r="P164" s="72">
        <v>14</v>
      </c>
      <c r="Q164" s="73">
        <v>10.5</v>
      </c>
      <c r="R164" s="107"/>
      <c r="S164" s="107"/>
      <c r="T164" s="101"/>
      <c r="U164" s="75"/>
      <c r="V164" s="75"/>
      <c r="W164" s="124">
        <f>SUMPRODUCT(B164:K164,$B$5:K$5)</f>
        <v>0</v>
      </c>
      <c r="X164" s="124">
        <f t="shared" si="122"/>
        <v>147</v>
      </c>
      <c r="Y164" s="124">
        <v>14</v>
      </c>
      <c r="Z164" s="124">
        <v>14</v>
      </c>
      <c r="AA164" s="124">
        <f t="shared" si="123"/>
        <v>147</v>
      </c>
      <c r="AB164" s="125">
        <f t="shared" si="124"/>
        <v>0</v>
      </c>
      <c r="AC164" s="126">
        <f t="shared" si="125"/>
        <v>147</v>
      </c>
      <c r="AD164" s="127" t="s">
        <v>5</v>
      </c>
      <c r="AE164" s="128"/>
    </row>
    <row r="165" spans="1:31" x14ac:dyDescent="0.25">
      <c r="A165" s="50">
        <v>46129</v>
      </c>
      <c r="B165" s="69"/>
      <c r="C165" s="70"/>
      <c r="D165" s="70"/>
      <c r="E165" s="70"/>
      <c r="F165" s="70"/>
      <c r="G165" s="70"/>
      <c r="H165" s="70"/>
      <c r="I165" s="70"/>
      <c r="J165" s="70"/>
      <c r="K165" s="70"/>
      <c r="L165" s="51">
        <f t="shared" si="120"/>
        <v>0</v>
      </c>
      <c r="M165" s="71"/>
      <c r="N165" s="71">
        <v>10.5</v>
      </c>
      <c r="O165" s="52">
        <f t="shared" si="121"/>
        <v>10.5</v>
      </c>
      <c r="P165" s="72">
        <v>14</v>
      </c>
      <c r="Q165" s="73">
        <v>10.5</v>
      </c>
      <c r="R165" s="107"/>
      <c r="S165" s="107"/>
      <c r="T165" s="101"/>
      <c r="U165" s="75"/>
      <c r="V165" s="75"/>
      <c r="W165" s="124">
        <f>SUMPRODUCT(B165:K165,$B$5:K$5)</f>
        <v>0</v>
      </c>
      <c r="X165" s="124">
        <f t="shared" si="122"/>
        <v>147</v>
      </c>
      <c r="Y165" s="124">
        <v>14</v>
      </c>
      <c r="Z165" s="124">
        <v>14</v>
      </c>
      <c r="AA165" s="124">
        <f t="shared" si="123"/>
        <v>147</v>
      </c>
      <c r="AB165" s="125">
        <f t="shared" si="124"/>
        <v>0</v>
      </c>
      <c r="AC165" s="126">
        <f t="shared" si="125"/>
        <v>147</v>
      </c>
      <c r="AD165" s="127" t="s">
        <v>5</v>
      </c>
      <c r="AE165" s="128"/>
    </row>
    <row r="166" spans="1:31" x14ac:dyDescent="0.25">
      <c r="A166" s="50">
        <v>46130</v>
      </c>
      <c r="B166" s="69"/>
      <c r="C166" s="70"/>
      <c r="D166" s="70"/>
      <c r="E166" s="70"/>
      <c r="F166" s="70"/>
      <c r="G166" s="70"/>
      <c r="H166" s="70"/>
      <c r="I166" s="70"/>
      <c r="J166" s="70"/>
      <c r="K166" s="70"/>
      <c r="L166" s="51">
        <f t="shared" si="120"/>
        <v>0</v>
      </c>
      <c r="M166" s="71"/>
      <c r="N166" s="71">
        <v>10</v>
      </c>
      <c r="O166" s="52">
        <f t="shared" si="121"/>
        <v>10</v>
      </c>
      <c r="P166" s="72">
        <v>14</v>
      </c>
      <c r="Q166" s="73">
        <v>10</v>
      </c>
      <c r="R166" s="107"/>
      <c r="S166" s="107"/>
      <c r="T166" s="101"/>
      <c r="U166" s="75"/>
      <c r="V166" s="75"/>
      <c r="W166" s="124">
        <f>SUMPRODUCT(B166:K166,$B$5:K$5)</f>
        <v>0</v>
      </c>
      <c r="X166" s="124">
        <f t="shared" si="122"/>
        <v>140</v>
      </c>
      <c r="Y166" s="124">
        <v>14</v>
      </c>
      <c r="Z166" s="124">
        <v>14</v>
      </c>
      <c r="AA166" s="124">
        <f t="shared" si="123"/>
        <v>140</v>
      </c>
      <c r="AB166" s="125">
        <f t="shared" si="124"/>
        <v>0</v>
      </c>
      <c r="AC166" s="126">
        <f t="shared" si="125"/>
        <v>140</v>
      </c>
      <c r="AD166" s="127" t="s">
        <v>5</v>
      </c>
      <c r="AE166" s="128"/>
    </row>
    <row r="167" spans="1:31" x14ac:dyDescent="0.25">
      <c r="A167" s="50">
        <v>46131</v>
      </c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51">
        <f t="shared" si="120"/>
        <v>0</v>
      </c>
      <c r="M167" s="71"/>
      <c r="N167" s="71">
        <v>12</v>
      </c>
      <c r="O167" s="52">
        <f t="shared" si="121"/>
        <v>12</v>
      </c>
      <c r="P167" s="72">
        <v>14</v>
      </c>
      <c r="Q167" s="73">
        <v>12</v>
      </c>
      <c r="R167" s="107"/>
      <c r="S167" s="107"/>
      <c r="T167" s="101"/>
      <c r="U167" s="75"/>
      <c r="V167" s="75"/>
      <c r="W167" s="124">
        <f>SUMPRODUCT(B167:K167,$B$5:K$5)</f>
        <v>0</v>
      </c>
      <c r="X167" s="124">
        <f t="shared" si="122"/>
        <v>168</v>
      </c>
      <c r="Y167" s="124">
        <v>14</v>
      </c>
      <c r="Z167" s="124">
        <v>14</v>
      </c>
      <c r="AA167" s="124">
        <f t="shared" si="123"/>
        <v>168</v>
      </c>
      <c r="AB167" s="125">
        <f t="shared" si="124"/>
        <v>0</v>
      </c>
      <c r="AC167" s="126">
        <f t="shared" si="125"/>
        <v>168</v>
      </c>
      <c r="AD167" s="127" t="s">
        <v>5</v>
      </c>
      <c r="AE167" s="128"/>
    </row>
    <row r="168" spans="1:31" x14ac:dyDescent="0.25">
      <c r="A168" s="53" t="s">
        <v>31</v>
      </c>
      <c r="B168" s="54">
        <f t="shared" ref="B168:O168" si="126">SUBTOTAL(9,B161:B167)</f>
        <v>0</v>
      </c>
      <c r="C168" s="54">
        <f t="shared" si="126"/>
        <v>0</v>
      </c>
      <c r="D168" s="54">
        <f t="shared" si="126"/>
        <v>0</v>
      </c>
      <c r="E168" s="54">
        <f t="shared" si="126"/>
        <v>0</v>
      </c>
      <c r="F168" s="54">
        <f t="shared" si="126"/>
        <v>0</v>
      </c>
      <c r="G168" s="54">
        <f t="shared" si="126"/>
        <v>0</v>
      </c>
      <c r="H168" s="54">
        <f t="shared" si="126"/>
        <v>0</v>
      </c>
      <c r="I168" s="54">
        <f t="shared" si="126"/>
        <v>0</v>
      </c>
      <c r="J168" s="54">
        <f t="shared" si="126"/>
        <v>0</v>
      </c>
      <c r="K168" s="54">
        <f t="shared" si="126"/>
        <v>0</v>
      </c>
      <c r="L168" s="55">
        <f t="shared" si="126"/>
        <v>0</v>
      </c>
      <c r="M168" s="54">
        <f t="shared" si="126"/>
        <v>0</v>
      </c>
      <c r="N168" s="54">
        <f t="shared" si="126"/>
        <v>83</v>
      </c>
      <c r="O168" s="55">
        <f t="shared" si="126"/>
        <v>83</v>
      </c>
      <c r="P168" s="56"/>
      <c r="Q168" s="57">
        <f>SUBTOTAL(9,Q161:Q167)</f>
        <v>83</v>
      </c>
      <c r="R168" s="92"/>
      <c r="S168" s="92"/>
      <c r="T168" s="102"/>
      <c r="U168" s="81"/>
      <c r="V168" s="81"/>
      <c r="W168" s="129">
        <f>SUBTOTAL(9,W161:W167)</f>
        <v>0</v>
      </c>
      <c r="X168" s="129">
        <f>SUBTOTAL(9,X161:X167)</f>
        <v>1162</v>
      </c>
      <c r="Y168" s="129"/>
      <c r="Z168" s="129"/>
      <c r="AA168" s="129">
        <f>SUBTOTAL(9,AA161:AA167)</f>
        <v>1162</v>
      </c>
      <c r="AB168" s="129">
        <f t="shared" si="124"/>
        <v>0</v>
      </c>
      <c r="AC168" s="129">
        <f t="shared" si="125"/>
        <v>1162</v>
      </c>
      <c r="AD168" s="130"/>
      <c r="AE168" s="129">
        <f>SUBTOTAL(9,AE161:AE167)</f>
        <v>0</v>
      </c>
    </row>
    <row r="169" spans="1:31" customFormat="1" ht="33" customHeight="1" x14ac:dyDescent="0.25">
      <c r="A169" s="45" t="s">
        <v>66</v>
      </c>
      <c r="B169" s="46" t="s">
        <v>67</v>
      </c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7"/>
      <c r="O169" s="48"/>
      <c r="P169" s="46"/>
      <c r="Q169" s="46"/>
      <c r="R169" s="91"/>
      <c r="S169" s="91"/>
      <c r="T169" s="91"/>
      <c r="U169" s="80"/>
      <c r="V169" s="80"/>
      <c r="W169" s="48"/>
      <c r="X169" s="48"/>
      <c r="Y169" s="48"/>
      <c r="Z169" s="48"/>
      <c r="AA169" s="49"/>
      <c r="AB169" s="121"/>
      <c r="AC169" s="121"/>
      <c r="AD169" s="122"/>
      <c r="AE169" s="123"/>
    </row>
    <row r="170" spans="1:31" x14ac:dyDescent="0.25">
      <c r="A170" s="50">
        <v>46125</v>
      </c>
      <c r="B170" s="69"/>
      <c r="C170" s="70"/>
      <c r="D170" s="70"/>
      <c r="E170" s="70"/>
      <c r="F170" s="70"/>
      <c r="G170" s="70"/>
      <c r="H170" s="70"/>
      <c r="I170" s="70"/>
      <c r="J170" s="70"/>
      <c r="K170" s="70"/>
      <c r="L170" s="51">
        <f t="shared" ref="L170:L176" si="127">SUM(B170:K170)</f>
        <v>0</v>
      </c>
      <c r="M170" s="71"/>
      <c r="N170" s="71">
        <v>10</v>
      </c>
      <c r="O170" s="52">
        <f t="shared" ref="O170:O176" si="128">M170+N170</f>
        <v>10</v>
      </c>
      <c r="P170" s="72">
        <v>16.23</v>
      </c>
      <c r="Q170" s="73">
        <v>10</v>
      </c>
      <c r="R170" s="107"/>
      <c r="S170" s="107"/>
      <c r="T170" s="101"/>
      <c r="U170" s="75"/>
      <c r="V170" s="75"/>
      <c r="W170" s="124">
        <f>SUMPRODUCT(B170:K170,$B$5:K$5)</f>
        <v>0</v>
      </c>
      <c r="X170" s="124">
        <f t="shared" ref="X170:X176" si="129">N170*P170</f>
        <v>162.30000000000001</v>
      </c>
      <c r="Y170" s="124">
        <v>16.23</v>
      </c>
      <c r="Z170" s="124">
        <v>16.23</v>
      </c>
      <c r="AA170" s="124">
        <f t="shared" ref="AA170:AA176" si="130">(M170*Y170)+(N170*Z170)</f>
        <v>162.30000000000001</v>
      </c>
      <c r="AB170" s="125">
        <f t="shared" ref="AB170:AB177" si="131">MAX(AA170-X170-W170,0)</f>
        <v>0</v>
      </c>
      <c r="AC170" s="126">
        <f t="shared" ref="AC170:AC177" si="132">W170+X170+AB170</f>
        <v>162.30000000000001</v>
      </c>
      <c r="AD170" s="127" t="s">
        <v>5</v>
      </c>
      <c r="AE170" s="128"/>
    </row>
    <row r="171" spans="1:31" x14ac:dyDescent="0.25">
      <c r="A171" s="50">
        <v>46126</v>
      </c>
      <c r="B171" s="69"/>
      <c r="C171" s="70"/>
      <c r="D171" s="70"/>
      <c r="E171" s="70"/>
      <c r="F171" s="70"/>
      <c r="G171" s="70"/>
      <c r="H171" s="70"/>
      <c r="I171" s="70"/>
      <c r="J171" s="70"/>
      <c r="K171" s="70"/>
      <c r="L171" s="51">
        <f t="shared" si="127"/>
        <v>0</v>
      </c>
      <c r="M171" s="71"/>
      <c r="N171" s="71">
        <v>10.5</v>
      </c>
      <c r="O171" s="52">
        <f t="shared" si="128"/>
        <v>10.5</v>
      </c>
      <c r="P171" s="72">
        <v>16.23</v>
      </c>
      <c r="Q171" s="73">
        <v>10.5</v>
      </c>
      <c r="R171" s="107"/>
      <c r="S171" s="107"/>
      <c r="T171" s="101"/>
      <c r="U171" s="75"/>
      <c r="V171" s="75"/>
      <c r="W171" s="124">
        <f>SUMPRODUCT(B171:K171,$B$5:K$5)</f>
        <v>0</v>
      </c>
      <c r="X171" s="124">
        <f t="shared" si="129"/>
        <v>170.41499999999999</v>
      </c>
      <c r="Y171" s="124">
        <v>16.23</v>
      </c>
      <c r="Z171" s="124">
        <v>16.23</v>
      </c>
      <c r="AA171" s="124">
        <f t="shared" si="130"/>
        <v>170.41499999999999</v>
      </c>
      <c r="AB171" s="125">
        <f t="shared" si="131"/>
        <v>0</v>
      </c>
      <c r="AC171" s="126">
        <f t="shared" si="132"/>
        <v>170.41499999999999</v>
      </c>
      <c r="AD171" s="127" t="s">
        <v>5</v>
      </c>
      <c r="AE171" s="128"/>
    </row>
    <row r="172" spans="1:31" x14ac:dyDescent="0.25">
      <c r="A172" s="50">
        <v>46127</v>
      </c>
      <c r="B172" s="69"/>
      <c r="C172" s="70"/>
      <c r="D172" s="70"/>
      <c r="E172" s="70"/>
      <c r="F172" s="70"/>
      <c r="G172" s="70"/>
      <c r="H172" s="70"/>
      <c r="I172" s="70"/>
      <c r="J172" s="70"/>
      <c r="K172" s="70"/>
      <c r="L172" s="51">
        <f t="shared" si="127"/>
        <v>0</v>
      </c>
      <c r="M172" s="71"/>
      <c r="N172" s="71">
        <v>10.25</v>
      </c>
      <c r="O172" s="52">
        <f t="shared" si="128"/>
        <v>10.25</v>
      </c>
      <c r="P172" s="72">
        <v>16.23</v>
      </c>
      <c r="Q172" s="73">
        <v>10.25</v>
      </c>
      <c r="R172" s="107"/>
      <c r="S172" s="107"/>
      <c r="T172" s="101"/>
      <c r="U172" s="75"/>
      <c r="V172" s="75"/>
      <c r="W172" s="124">
        <f>SUMPRODUCT(B172:K172,$B$5:K$5)</f>
        <v>0</v>
      </c>
      <c r="X172" s="124">
        <f t="shared" si="129"/>
        <v>166.35750000000002</v>
      </c>
      <c r="Y172" s="124">
        <v>16.23</v>
      </c>
      <c r="Z172" s="124">
        <v>16.23</v>
      </c>
      <c r="AA172" s="124">
        <f t="shared" si="130"/>
        <v>166.35750000000002</v>
      </c>
      <c r="AB172" s="125">
        <f t="shared" si="131"/>
        <v>0</v>
      </c>
      <c r="AC172" s="126">
        <f t="shared" si="132"/>
        <v>166.35750000000002</v>
      </c>
      <c r="AD172" s="127" t="s">
        <v>5</v>
      </c>
      <c r="AE172" s="128"/>
    </row>
    <row r="173" spans="1:31" x14ac:dyDescent="0.25">
      <c r="A173" s="50">
        <v>46128</v>
      </c>
      <c r="B173" s="69"/>
      <c r="C173" s="70"/>
      <c r="D173" s="70"/>
      <c r="E173" s="70"/>
      <c r="F173" s="70"/>
      <c r="G173" s="70"/>
      <c r="H173" s="70"/>
      <c r="I173" s="70"/>
      <c r="J173" s="70"/>
      <c r="K173" s="70"/>
      <c r="L173" s="51">
        <f t="shared" si="127"/>
        <v>0</v>
      </c>
      <c r="M173" s="71"/>
      <c r="N173" s="71">
        <v>10.5</v>
      </c>
      <c r="O173" s="52">
        <f t="shared" si="128"/>
        <v>10.5</v>
      </c>
      <c r="P173" s="72">
        <v>16.23</v>
      </c>
      <c r="Q173" s="73">
        <v>10.5</v>
      </c>
      <c r="R173" s="107"/>
      <c r="S173" s="107"/>
      <c r="T173" s="101"/>
      <c r="U173" s="75"/>
      <c r="V173" s="75"/>
      <c r="W173" s="124">
        <f>SUMPRODUCT(B173:K173,$B$5:K$5)</f>
        <v>0</v>
      </c>
      <c r="X173" s="124">
        <f t="shared" si="129"/>
        <v>170.41499999999999</v>
      </c>
      <c r="Y173" s="124">
        <v>16.23</v>
      </c>
      <c r="Z173" s="124">
        <v>16.23</v>
      </c>
      <c r="AA173" s="124">
        <f t="shared" si="130"/>
        <v>170.41499999999999</v>
      </c>
      <c r="AB173" s="125">
        <f t="shared" si="131"/>
        <v>0</v>
      </c>
      <c r="AC173" s="126">
        <f t="shared" si="132"/>
        <v>170.41499999999999</v>
      </c>
      <c r="AD173" s="127" t="s">
        <v>5</v>
      </c>
      <c r="AE173" s="128"/>
    </row>
    <row r="174" spans="1:31" x14ac:dyDescent="0.25">
      <c r="A174" s="50">
        <v>46129</v>
      </c>
      <c r="B174" s="69"/>
      <c r="C174" s="70"/>
      <c r="D174" s="70"/>
      <c r="E174" s="70"/>
      <c r="F174" s="70"/>
      <c r="G174" s="70"/>
      <c r="H174" s="70"/>
      <c r="I174" s="70"/>
      <c r="J174" s="70"/>
      <c r="K174" s="70"/>
      <c r="L174" s="51">
        <f t="shared" si="127"/>
        <v>0</v>
      </c>
      <c r="M174" s="71"/>
      <c r="N174" s="71">
        <v>10.5</v>
      </c>
      <c r="O174" s="52">
        <f t="shared" si="128"/>
        <v>10.5</v>
      </c>
      <c r="P174" s="72">
        <v>16.23</v>
      </c>
      <c r="Q174" s="73">
        <v>10.5</v>
      </c>
      <c r="R174" s="107"/>
      <c r="S174" s="107"/>
      <c r="T174" s="101"/>
      <c r="U174" s="75"/>
      <c r="V174" s="75"/>
      <c r="W174" s="124">
        <f>SUMPRODUCT(B174:K174,$B$5:K$5)</f>
        <v>0</v>
      </c>
      <c r="X174" s="124">
        <f t="shared" si="129"/>
        <v>170.41499999999999</v>
      </c>
      <c r="Y174" s="124">
        <v>16.23</v>
      </c>
      <c r="Z174" s="124">
        <v>16.23</v>
      </c>
      <c r="AA174" s="124">
        <f t="shared" si="130"/>
        <v>170.41499999999999</v>
      </c>
      <c r="AB174" s="125">
        <f t="shared" si="131"/>
        <v>0</v>
      </c>
      <c r="AC174" s="126">
        <f t="shared" si="132"/>
        <v>170.41499999999999</v>
      </c>
      <c r="AD174" s="127" t="s">
        <v>5</v>
      </c>
      <c r="AE174" s="128"/>
    </row>
    <row r="175" spans="1:31" x14ac:dyDescent="0.25">
      <c r="A175" s="50">
        <v>46130</v>
      </c>
      <c r="B175" s="69"/>
      <c r="C175" s="70"/>
      <c r="D175" s="70"/>
      <c r="E175" s="70"/>
      <c r="F175" s="70"/>
      <c r="G175" s="70"/>
      <c r="H175" s="70"/>
      <c r="I175" s="70"/>
      <c r="J175" s="70"/>
      <c r="K175" s="70"/>
      <c r="L175" s="51">
        <f t="shared" si="127"/>
        <v>0</v>
      </c>
      <c r="M175" s="71"/>
      <c r="N175" s="71">
        <v>10.75</v>
      </c>
      <c r="O175" s="52">
        <f t="shared" si="128"/>
        <v>10.75</v>
      </c>
      <c r="P175" s="72">
        <v>16.23</v>
      </c>
      <c r="Q175" s="73">
        <v>10.75</v>
      </c>
      <c r="R175" s="107"/>
      <c r="S175" s="107"/>
      <c r="T175" s="101"/>
      <c r="U175" s="75"/>
      <c r="V175" s="75"/>
      <c r="W175" s="124">
        <f>SUMPRODUCT(B175:K175,$B$5:K$5)</f>
        <v>0</v>
      </c>
      <c r="X175" s="124">
        <f t="shared" si="129"/>
        <v>174.4725</v>
      </c>
      <c r="Y175" s="124">
        <v>16.23</v>
      </c>
      <c r="Z175" s="124">
        <v>16.23</v>
      </c>
      <c r="AA175" s="124">
        <f t="shared" si="130"/>
        <v>174.4725</v>
      </c>
      <c r="AB175" s="125">
        <f t="shared" si="131"/>
        <v>0</v>
      </c>
      <c r="AC175" s="126">
        <f t="shared" si="132"/>
        <v>174.4725</v>
      </c>
      <c r="AD175" s="127" t="s">
        <v>5</v>
      </c>
      <c r="AE175" s="128"/>
    </row>
    <row r="176" spans="1:31" x14ac:dyDescent="0.25">
      <c r="A176" s="50">
        <v>46131</v>
      </c>
      <c r="B176" s="69"/>
      <c r="C176" s="70"/>
      <c r="D176" s="70"/>
      <c r="E176" s="70"/>
      <c r="F176" s="70"/>
      <c r="G176" s="70"/>
      <c r="H176" s="70"/>
      <c r="I176" s="70"/>
      <c r="J176" s="70"/>
      <c r="K176" s="70"/>
      <c r="L176" s="51">
        <f t="shared" si="127"/>
        <v>0</v>
      </c>
      <c r="M176" s="71"/>
      <c r="N176" s="71">
        <v>7.5</v>
      </c>
      <c r="O176" s="52">
        <f t="shared" si="128"/>
        <v>7.5</v>
      </c>
      <c r="P176" s="72">
        <v>16.23</v>
      </c>
      <c r="Q176" s="73">
        <v>7.5</v>
      </c>
      <c r="R176" s="107"/>
      <c r="S176" s="107"/>
      <c r="T176" s="101"/>
      <c r="U176" s="75"/>
      <c r="V176" s="75"/>
      <c r="W176" s="124">
        <f>SUMPRODUCT(B176:K176,$B$5:K$5)</f>
        <v>0</v>
      </c>
      <c r="X176" s="124">
        <f t="shared" si="129"/>
        <v>121.72500000000001</v>
      </c>
      <c r="Y176" s="124">
        <v>16.23</v>
      </c>
      <c r="Z176" s="124">
        <v>16.23</v>
      </c>
      <c r="AA176" s="124">
        <f t="shared" si="130"/>
        <v>121.72500000000001</v>
      </c>
      <c r="AB176" s="125">
        <f t="shared" si="131"/>
        <v>0</v>
      </c>
      <c r="AC176" s="126">
        <f t="shared" si="132"/>
        <v>121.72500000000001</v>
      </c>
      <c r="AD176" s="127" t="s">
        <v>5</v>
      </c>
      <c r="AE176" s="128"/>
    </row>
    <row r="177" spans="1:31" x14ac:dyDescent="0.25">
      <c r="A177" s="53" t="s">
        <v>31</v>
      </c>
      <c r="B177" s="54">
        <f t="shared" ref="B177:O177" si="133">SUBTOTAL(9,B170:B176)</f>
        <v>0</v>
      </c>
      <c r="C177" s="54">
        <f t="shared" si="133"/>
        <v>0</v>
      </c>
      <c r="D177" s="54">
        <f t="shared" si="133"/>
        <v>0</v>
      </c>
      <c r="E177" s="54">
        <f t="shared" si="133"/>
        <v>0</v>
      </c>
      <c r="F177" s="54">
        <f t="shared" si="133"/>
        <v>0</v>
      </c>
      <c r="G177" s="54">
        <f t="shared" si="133"/>
        <v>0</v>
      </c>
      <c r="H177" s="54">
        <f t="shared" si="133"/>
        <v>0</v>
      </c>
      <c r="I177" s="54">
        <f t="shared" si="133"/>
        <v>0</v>
      </c>
      <c r="J177" s="54">
        <f t="shared" si="133"/>
        <v>0</v>
      </c>
      <c r="K177" s="54">
        <f t="shared" si="133"/>
        <v>0</v>
      </c>
      <c r="L177" s="55">
        <f t="shared" si="133"/>
        <v>0</v>
      </c>
      <c r="M177" s="54">
        <f t="shared" si="133"/>
        <v>0</v>
      </c>
      <c r="N177" s="54">
        <f t="shared" si="133"/>
        <v>70</v>
      </c>
      <c r="O177" s="55">
        <f t="shared" si="133"/>
        <v>70</v>
      </c>
      <c r="P177" s="56"/>
      <c r="Q177" s="57">
        <f>SUBTOTAL(9,Q170:Q176)</f>
        <v>70</v>
      </c>
      <c r="R177" s="92"/>
      <c r="S177" s="92"/>
      <c r="T177" s="102"/>
      <c r="U177" s="81"/>
      <c r="V177" s="81"/>
      <c r="W177" s="129">
        <f>SUBTOTAL(9,W170:W176)</f>
        <v>0</v>
      </c>
      <c r="X177" s="129">
        <f>SUBTOTAL(9,X170:X176)</f>
        <v>1136.0999999999999</v>
      </c>
      <c r="Y177" s="129"/>
      <c r="Z177" s="129"/>
      <c r="AA177" s="129">
        <f>SUBTOTAL(9,AA170:AA176)</f>
        <v>1136.0999999999999</v>
      </c>
      <c r="AB177" s="129">
        <f t="shared" si="131"/>
        <v>0</v>
      </c>
      <c r="AC177" s="129">
        <f t="shared" si="132"/>
        <v>1136.0999999999999</v>
      </c>
      <c r="AD177" s="130"/>
      <c r="AE177" s="129">
        <f>SUBTOTAL(9,AE170:AE176)</f>
        <v>0</v>
      </c>
    </row>
    <row r="178" spans="1:31" customFormat="1" ht="33" customHeight="1" x14ac:dyDescent="0.25">
      <c r="A178" s="45" t="s">
        <v>68</v>
      </c>
      <c r="B178" s="46" t="s">
        <v>69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7"/>
      <c r="O178" s="48"/>
      <c r="P178" s="46"/>
      <c r="Q178" s="46"/>
      <c r="R178" s="91"/>
      <c r="S178" s="91"/>
      <c r="T178" s="91"/>
      <c r="U178" s="80"/>
      <c r="V178" s="80"/>
      <c r="W178" s="48"/>
      <c r="X178" s="48"/>
      <c r="Y178" s="48"/>
      <c r="Z178" s="48"/>
      <c r="AA178" s="49"/>
      <c r="AB178" s="121"/>
      <c r="AC178" s="121"/>
      <c r="AD178" s="122"/>
      <c r="AE178" s="123"/>
    </row>
    <row r="179" spans="1:31" x14ac:dyDescent="0.25">
      <c r="A179" s="50">
        <v>46125</v>
      </c>
      <c r="B179" s="69"/>
      <c r="C179" s="70"/>
      <c r="D179" s="70"/>
      <c r="E179" s="70"/>
      <c r="F179" s="70"/>
      <c r="G179" s="70"/>
      <c r="H179" s="70"/>
      <c r="I179" s="70"/>
      <c r="J179" s="70"/>
      <c r="K179" s="70"/>
      <c r="L179" s="51">
        <f t="shared" ref="L179:L185" si="134">SUM(B179:K179)</f>
        <v>0</v>
      </c>
      <c r="M179" s="71"/>
      <c r="N179" s="71">
        <v>11.5</v>
      </c>
      <c r="O179" s="52">
        <f t="shared" ref="O179:O185" si="135">M179+N179</f>
        <v>11.5</v>
      </c>
      <c r="P179" s="72">
        <v>16.23</v>
      </c>
      <c r="Q179" s="73">
        <v>11.5</v>
      </c>
      <c r="R179" s="107"/>
      <c r="S179" s="107"/>
      <c r="T179" s="101"/>
      <c r="U179" s="75"/>
      <c r="V179" s="75"/>
      <c r="W179" s="124">
        <f>SUMPRODUCT(B179:K179,$B$5:K$5)</f>
        <v>0</v>
      </c>
      <c r="X179" s="124">
        <f t="shared" ref="X179:X185" si="136">N179*P179</f>
        <v>186.64500000000001</v>
      </c>
      <c r="Y179" s="124">
        <v>16.23</v>
      </c>
      <c r="Z179" s="124">
        <v>16.23</v>
      </c>
      <c r="AA179" s="124">
        <f t="shared" ref="AA179:AA185" si="137">(M179*Y179)+(N179*Z179)</f>
        <v>186.64500000000001</v>
      </c>
      <c r="AB179" s="125">
        <f t="shared" ref="AB179:AB186" si="138">MAX(AA179-X179-W179,0)</f>
        <v>0</v>
      </c>
      <c r="AC179" s="126">
        <f t="shared" ref="AC179:AC186" si="139">W179+X179+AB179</f>
        <v>186.64500000000001</v>
      </c>
      <c r="AD179" s="127" t="s">
        <v>5</v>
      </c>
      <c r="AE179" s="128"/>
    </row>
    <row r="180" spans="1:31" x14ac:dyDescent="0.25">
      <c r="A180" s="50">
        <v>46126</v>
      </c>
      <c r="B180" s="69"/>
      <c r="C180" s="70"/>
      <c r="D180" s="70"/>
      <c r="E180" s="70"/>
      <c r="F180" s="70"/>
      <c r="G180" s="70"/>
      <c r="H180" s="70"/>
      <c r="I180" s="70"/>
      <c r="J180" s="70"/>
      <c r="K180" s="70"/>
      <c r="L180" s="51">
        <f t="shared" si="134"/>
        <v>0</v>
      </c>
      <c r="M180" s="71"/>
      <c r="N180" s="71">
        <v>12</v>
      </c>
      <c r="O180" s="52">
        <f t="shared" si="135"/>
        <v>12</v>
      </c>
      <c r="P180" s="72">
        <v>16.23</v>
      </c>
      <c r="Q180" s="73">
        <v>12</v>
      </c>
      <c r="R180" s="107"/>
      <c r="S180" s="107"/>
      <c r="T180" s="101"/>
      <c r="U180" s="75"/>
      <c r="V180" s="75"/>
      <c r="W180" s="124">
        <f>SUMPRODUCT(B180:K180,$B$5:K$5)</f>
        <v>0</v>
      </c>
      <c r="X180" s="124">
        <f t="shared" si="136"/>
        <v>194.76</v>
      </c>
      <c r="Y180" s="124">
        <v>16.23</v>
      </c>
      <c r="Z180" s="124">
        <v>16.23</v>
      </c>
      <c r="AA180" s="124">
        <f t="shared" si="137"/>
        <v>194.76</v>
      </c>
      <c r="AB180" s="125">
        <f t="shared" si="138"/>
        <v>0</v>
      </c>
      <c r="AC180" s="126">
        <f t="shared" si="139"/>
        <v>194.76</v>
      </c>
      <c r="AD180" s="127" t="s">
        <v>5</v>
      </c>
      <c r="AE180" s="128"/>
    </row>
    <row r="181" spans="1:31" x14ac:dyDescent="0.25">
      <c r="A181" s="50">
        <v>46127</v>
      </c>
      <c r="B181" s="69"/>
      <c r="C181" s="70"/>
      <c r="D181" s="70"/>
      <c r="E181" s="70"/>
      <c r="F181" s="70"/>
      <c r="G181" s="70"/>
      <c r="H181" s="70"/>
      <c r="I181" s="70"/>
      <c r="J181" s="70"/>
      <c r="K181" s="70"/>
      <c r="L181" s="51">
        <f t="shared" si="134"/>
        <v>0</v>
      </c>
      <c r="M181" s="71"/>
      <c r="N181" s="71">
        <v>12</v>
      </c>
      <c r="O181" s="52">
        <f t="shared" si="135"/>
        <v>12</v>
      </c>
      <c r="P181" s="72">
        <v>16.23</v>
      </c>
      <c r="Q181" s="73">
        <v>12</v>
      </c>
      <c r="R181" s="107"/>
      <c r="S181" s="107"/>
      <c r="T181" s="101"/>
      <c r="U181" s="75"/>
      <c r="V181" s="75"/>
      <c r="W181" s="124">
        <f>SUMPRODUCT(B181:K181,$B$5:K$5)</f>
        <v>0</v>
      </c>
      <c r="X181" s="124">
        <f t="shared" si="136"/>
        <v>194.76</v>
      </c>
      <c r="Y181" s="124">
        <v>16.23</v>
      </c>
      <c r="Z181" s="124">
        <v>16.23</v>
      </c>
      <c r="AA181" s="124">
        <f t="shared" si="137"/>
        <v>194.76</v>
      </c>
      <c r="AB181" s="125">
        <f t="shared" si="138"/>
        <v>0</v>
      </c>
      <c r="AC181" s="126">
        <f t="shared" si="139"/>
        <v>194.76</v>
      </c>
      <c r="AD181" s="127" t="s">
        <v>5</v>
      </c>
      <c r="AE181" s="128"/>
    </row>
    <row r="182" spans="1:31" x14ac:dyDescent="0.25">
      <c r="A182" s="50">
        <v>46128</v>
      </c>
      <c r="B182" s="69"/>
      <c r="C182" s="70"/>
      <c r="D182" s="70"/>
      <c r="E182" s="70"/>
      <c r="F182" s="70"/>
      <c r="G182" s="70"/>
      <c r="H182" s="70"/>
      <c r="I182" s="70"/>
      <c r="J182" s="70"/>
      <c r="K182" s="70"/>
      <c r="L182" s="51">
        <f t="shared" si="134"/>
        <v>0</v>
      </c>
      <c r="M182" s="71"/>
      <c r="N182" s="71">
        <v>11</v>
      </c>
      <c r="O182" s="52">
        <f t="shared" si="135"/>
        <v>11</v>
      </c>
      <c r="P182" s="72">
        <v>16.23</v>
      </c>
      <c r="Q182" s="73">
        <v>11</v>
      </c>
      <c r="R182" s="107"/>
      <c r="S182" s="107"/>
      <c r="T182" s="101"/>
      <c r="U182" s="75"/>
      <c r="V182" s="75"/>
      <c r="W182" s="124">
        <f>SUMPRODUCT(B182:K182,$B$5:K$5)</f>
        <v>0</v>
      </c>
      <c r="X182" s="124">
        <f t="shared" si="136"/>
        <v>178.53</v>
      </c>
      <c r="Y182" s="124">
        <v>16.23</v>
      </c>
      <c r="Z182" s="124">
        <v>16.23</v>
      </c>
      <c r="AA182" s="124">
        <f t="shared" si="137"/>
        <v>178.53</v>
      </c>
      <c r="AB182" s="125">
        <f t="shared" si="138"/>
        <v>0</v>
      </c>
      <c r="AC182" s="126">
        <f t="shared" si="139"/>
        <v>178.53</v>
      </c>
      <c r="AD182" s="127" t="s">
        <v>5</v>
      </c>
      <c r="AE182" s="128"/>
    </row>
    <row r="183" spans="1:31" x14ac:dyDescent="0.25">
      <c r="A183" s="50">
        <v>46129</v>
      </c>
      <c r="B183" s="69"/>
      <c r="C183" s="70"/>
      <c r="D183" s="70"/>
      <c r="E183" s="70"/>
      <c r="F183" s="70"/>
      <c r="G183" s="70"/>
      <c r="H183" s="70"/>
      <c r="I183" s="70"/>
      <c r="J183" s="70"/>
      <c r="K183" s="70"/>
      <c r="L183" s="51">
        <f t="shared" si="134"/>
        <v>0</v>
      </c>
      <c r="M183" s="71"/>
      <c r="N183" s="71">
        <v>11</v>
      </c>
      <c r="O183" s="52">
        <f t="shared" si="135"/>
        <v>11</v>
      </c>
      <c r="P183" s="72">
        <v>16.23</v>
      </c>
      <c r="Q183" s="73">
        <v>11</v>
      </c>
      <c r="R183" s="107"/>
      <c r="S183" s="107"/>
      <c r="T183" s="101"/>
      <c r="U183" s="75"/>
      <c r="V183" s="75"/>
      <c r="W183" s="124">
        <f>SUMPRODUCT(B183:K183,$B$5:K$5)</f>
        <v>0</v>
      </c>
      <c r="X183" s="124">
        <f t="shared" si="136"/>
        <v>178.53</v>
      </c>
      <c r="Y183" s="124">
        <v>16.23</v>
      </c>
      <c r="Z183" s="124">
        <v>16.23</v>
      </c>
      <c r="AA183" s="124">
        <f t="shared" si="137"/>
        <v>178.53</v>
      </c>
      <c r="AB183" s="125">
        <f t="shared" si="138"/>
        <v>0</v>
      </c>
      <c r="AC183" s="126">
        <f t="shared" si="139"/>
        <v>178.53</v>
      </c>
      <c r="AD183" s="127" t="s">
        <v>5</v>
      </c>
      <c r="AE183" s="128"/>
    </row>
    <row r="184" spans="1:31" x14ac:dyDescent="0.25">
      <c r="A184" s="50">
        <v>46130</v>
      </c>
      <c r="B184" s="69"/>
      <c r="C184" s="70"/>
      <c r="D184" s="70"/>
      <c r="E184" s="70"/>
      <c r="F184" s="70"/>
      <c r="G184" s="70"/>
      <c r="H184" s="70"/>
      <c r="I184" s="70"/>
      <c r="J184" s="70"/>
      <c r="K184" s="70"/>
      <c r="L184" s="51">
        <f t="shared" si="134"/>
        <v>0</v>
      </c>
      <c r="M184" s="71"/>
      <c r="N184" s="71">
        <v>11.5</v>
      </c>
      <c r="O184" s="52">
        <f t="shared" si="135"/>
        <v>11.5</v>
      </c>
      <c r="P184" s="72">
        <v>16.23</v>
      </c>
      <c r="Q184" s="73">
        <v>11.5</v>
      </c>
      <c r="R184" s="107"/>
      <c r="S184" s="107"/>
      <c r="T184" s="101"/>
      <c r="U184" s="75"/>
      <c r="V184" s="75"/>
      <c r="W184" s="124">
        <f>SUMPRODUCT(B184:K184,$B$5:K$5)</f>
        <v>0</v>
      </c>
      <c r="X184" s="124">
        <f t="shared" si="136"/>
        <v>186.64500000000001</v>
      </c>
      <c r="Y184" s="124">
        <v>16.23</v>
      </c>
      <c r="Z184" s="124">
        <v>16.23</v>
      </c>
      <c r="AA184" s="124">
        <f t="shared" si="137"/>
        <v>186.64500000000001</v>
      </c>
      <c r="AB184" s="125">
        <f t="shared" si="138"/>
        <v>0</v>
      </c>
      <c r="AC184" s="126">
        <f t="shared" si="139"/>
        <v>186.64500000000001</v>
      </c>
      <c r="AD184" s="127" t="s">
        <v>5</v>
      </c>
      <c r="AE184" s="128"/>
    </row>
    <row r="185" spans="1:31" x14ac:dyDescent="0.25">
      <c r="A185" s="50">
        <v>46131</v>
      </c>
      <c r="B185" s="69"/>
      <c r="C185" s="70"/>
      <c r="D185" s="70"/>
      <c r="E185" s="70"/>
      <c r="F185" s="70"/>
      <c r="G185" s="70"/>
      <c r="H185" s="70"/>
      <c r="I185" s="70"/>
      <c r="J185" s="70"/>
      <c r="K185" s="70"/>
      <c r="L185" s="51">
        <f t="shared" si="134"/>
        <v>0</v>
      </c>
      <c r="M185" s="71"/>
      <c r="N185" s="71">
        <v>7.5</v>
      </c>
      <c r="O185" s="52">
        <f t="shared" si="135"/>
        <v>7.5</v>
      </c>
      <c r="P185" s="72">
        <v>16.23</v>
      </c>
      <c r="Q185" s="73">
        <v>7.5</v>
      </c>
      <c r="R185" s="107"/>
      <c r="S185" s="107"/>
      <c r="T185" s="101"/>
      <c r="U185" s="75"/>
      <c r="V185" s="75"/>
      <c r="W185" s="124">
        <f>SUMPRODUCT(B185:K185,$B$5:K$5)</f>
        <v>0</v>
      </c>
      <c r="X185" s="124">
        <f t="shared" si="136"/>
        <v>121.72500000000001</v>
      </c>
      <c r="Y185" s="124">
        <v>16.23</v>
      </c>
      <c r="Z185" s="124">
        <v>16.23</v>
      </c>
      <c r="AA185" s="124">
        <f t="shared" si="137"/>
        <v>121.72500000000001</v>
      </c>
      <c r="AB185" s="125">
        <f t="shared" si="138"/>
        <v>0</v>
      </c>
      <c r="AC185" s="126">
        <f t="shared" si="139"/>
        <v>121.72500000000001</v>
      </c>
      <c r="AD185" s="127" t="s">
        <v>5</v>
      </c>
      <c r="AE185" s="128"/>
    </row>
    <row r="186" spans="1:31" x14ac:dyDescent="0.25">
      <c r="A186" s="53" t="s">
        <v>31</v>
      </c>
      <c r="B186" s="54">
        <f t="shared" ref="B186:O186" si="140">SUBTOTAL(9,B179:B185)</f>
        <v>0</v>
      </c>
      <c r="C186" s="54">
        <f t="shared" si="140"/>
        <v>0</v>
      </c>
      <c r="D186" s="54">
        <f t="shared" si="140"/>
        <v>0</v>
      </c>
      <c r="E186" s="54">
        <f t="shared" si="140"/>
        <v>0</v>
      </c>
      <c r="F186" s="54">
        <f t="shared" si="140"/>
        <v>0</v>
      </c>
      <c r="G186" s="54">
        <f t="shared" si="140"/>
        <v>0</v>
      </c>
      <c r="H186" s="54">
        <f t="shared" si="140"/>
        <v>0</v>
      </c>
      <c r="I186" s="54">
        <f t="shared" si="140"/>
        <v>0</v>
      </c>
      <c r="J186" s="54">
        <f t="shared" si="140"/>
        <v>0</v>
      </c>
      <c r="K186" s="54">
        <f t="shared" si="140"/>
        <v>0</v>
      </c>
      <c r="L186" s="55">
        <f t="shared" si="140"/>
        <v>0</v>
      </c>
      <c r="M186" s="54">
        <f t="shared" si="140"/>
        <v>0</v>
      </c>
      <c r="N186" s="54">
        <f t="shared" si="140"/>
        <v>76.5</v>
      </c>
      <c r="O186" s="55">
        <f t="shared" si="140"/>
        <v>76.5</v>
      </c>
      <c r="P186" s="56"/>
      <c r="Q186" s="57">
        <f>SUBTOTAL(9,Q179:Q185)</f>
        <v>76.5</v>
      </c>
      <c r="R186" s="92"/>
      <c r="S186" s="92"/>
      <c r="T186" s="102"/>
      <c r="U186" s="81"/>
      <c r="V186" s="81"/>
      <c r="W186" s="129">
        <f>SUBTOTAL(9,W179:W185)</f>
        <v>0</v>
      </c>
      <c r="X186" s="129">
        <f>SUBTOTAL(9,X179:X185)</f>
        <v>1241.5949999999998</v>
      </c>
      <c r="Y186" s="129"/>
      <c r="Z186" s="129"/>
      <c r="AA186" s="129">
        <f>SUBTOTAL(9,AA179:AA185)</f>
        <v>1241.5949999999998</v>
      </c>
      <c r="AB186" s="129">
        <f t="shared" si="138"/>
        <v>0</v>
      </c>
      <c r="AC186" s="129">
        <f t="shared" si="139"/>
        <v>1241.5949999999998</v>
      </c>
      <c r="AD186" s="130"/>
      <c r="AE186" s="129">
        <f>SUBTOTAL(9,AE179:AE185)</f>
        <v>0</v>
      </c>
    </row>
    <row r="187" spans="1:31" customFormat="1" ht="33" customHeight="1" x14ac:dyDescent="0.25">
      <c r="A187" s="45" t="s">
        <v>70</v>
      </c>
      <c r="B187" s="46" t="s">
        <v>71</v>
      </c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7"/>
      <c r="O187" s="48"/>
      <c r="P187" s="46"/>
      <c r="Q187" s="46"/>
      <c r="R187" s="91"/>
      <c r="S187" s="91"/>
      <c r="T187" s="91"/>
      <c r="U187" s="80"/>
      <c r="V187" s="80"/>
      <c r="W187" s="48"/>
      <c r="X187" s="48"/>
      <c r="Y187" s="48"/>
      <c r="Z187" s="48"/>
      <c r="AA187" s="49"/>
      <c r="AB187" s="121"/>
      <c r="AC187" s="121"/>
      <c r="AD187" s="122"/>
      <c r="AE187" s="123"/>
    </row>
    <row r="188" spans="1:31" x14ac:dyDescent="0.25">
      <c r="A188" s="50">
        <v>46125</v>
      </c>
      <c r="B188" s="69"/>
      <c r="C188" s="70"/>
      <c r="D188" s="70"/>
      <c r="E188" s="70"/>
      <c r="F188" s="70"/>
      <c r="G188" s="70"/>
      <c r="H188" s="70"/>
      <c r="I188" s="70"/>
      <c r="J188" s="70"/>
      <c r="K188" s="70"/>
      <c r="L188" s="51">
        <f t="shared" ref="L188:L194" si="141">SUM(B188:K188)</f>
        <v>0</v>
      </c>
      <c r="M188" s="71"/>
      <c r="N188" s="71">
        <v>11.5</v>
      </c>
      <c r="O188" s="52">
        <f t="shared" ref="O188:O194" si="142">M188+N188</f>
        <v>11.5</v>
      </c>
      <c r="P188" s="72">
        <v>21.62</v>
      </c>
      <c r="Q188" s="73">
        <v>11.5</v>
      </c>
      <c r="R188" s="107"/>
      <c r="S188" s="107"/>
      <c r="T188" s="101"/>
      <c r="U188" s="75"/>
      <c r="V188" s="75"/>
      <c r="W188" s="124">
        <f>SUMPRODUCT(B188:K188,$B$5:K$5)</f>
        <v>0</v>
      </c>
      <c r="X188" s="124">
        <f t="shared" ref="X188:X194" si="143">N188*P188</f>
        <v>248.63000000000002</v>
      </c>
      <c r="Y188" s="124">
        <v>21.62</v>
      </c>
      <c r="Z188" s="124">
        <v>21.62</v>
      </c>
      <c r="AA188" s="124">
        <f t="shared" ref="AA188:AA194" si="144">(M188*Y188)+(N188*Z188)</f>
        <v>248.63000000000002</v>
      </c>
      <c r="AB188" s="125">
        <f t="shared" ref="AB188:AB195" si="145">MAX(AA188-X188-W188,0)</f>
        <v>0</v>
      </c>
      <c r="AC188" s="126">
        <f t="shared" ref="AC188:AC195" si="146">W188+X188+AB188</f>
        <v>248.63000000000002</v>
      </c>
      <c r="AD188" s="127" t="s">
        <v>5</v>
      </c>
      <c r="AE188" s="128"/>
    </row>
    <row r="189" spans="1:31" x14ac:dyDescent="0.25">
      <c r="A189" s="50">
        <v>46126</v>
      </c>
      <c r="B189" s="69"/>
      <c r="C189" s="70"/>
      <c r="D189" s="70"/>
      <c r="E189" s="70"/>
      <c r="F189" s="70"/>
      <c r="G189" s="70"/>
      <c r="H189" s="70"/>
      <c r="I189" s="70"/>
      <c r="J189" s="70"/>
      <c r="K189" s="70"/>
      <c r="L189" s="51">
        <f t="shared" si="141"/>
        <v>0</v>
      </c>
      <c r="M189" s="71"/>
      <c r="N189" s="71">
        <v>11.5</v>
      </c>
      <c r="O189" s="52">
        <f t="shared" si="142"/>
        <v>11.5</v>
      </c>
      <c r="P189" s="72">
        <v>21.62</v>
      </c>
      <c r="Q189" s="73">
        <v>11.5</v>
      </c>
      <c r="R189" s="107"/>
      <c r="S189" s="107"/>
      <c r="T189" s="101"/>
      <c r="U189" s="75"/>
      <c r="V189" s="75"/>
      <c r="W189" s="124">
        <f>SUMPRODUCT(B189:K189,$B$5:K$5)</f>
        <v>0</v>
      </c>
      <c r="X189" s="124">
        <f t="shared" si="143"/>
        <v>248.63000000000002</v>
      </c>
      <c r="Y189" s="124">
        <v>21.62</v>
      </c>
      <c r="Z189" s="124">
        <v>21.62</v>
      </c>
      <c r="AA189" s="124">
        <f t="shared" si="144"/>
        <v>248.63000000000002</v>
      </c>
      <c r="AB189" s="125">
        <f t="shared" si="145"/>
        <v>0</v>
      </c>
      <c r="AC189" s="126">
        <f t="shared" si="146"/>
        <v>248.63000000000002</v>
      </c>
      <c r="AD189" s="127" t="s">
        <v>5</v>
      </c>
      <c r="AE189" s="128"/>
    </row>
    <row r="190" spans="1:31" x14ac:dyDescent="0.25">
      <c r="A190" s="50">
        <v>46127</v>
      </c>
      <c r="B190" s="69"/>
      <c r="C190" s="70"/>
      <c r="D190" s="70"/>
      <c r="E190" s="70"/>
      <c r="F190" s="70"/>
      <c r="G190" s="70"/>
      <c r="H190" s="70"/>
      <c r="I190" s="70"/>
      <c r="J190" s="70"/>
      <c r="K190" s="70"/>
      <c r="L190" s="51">
        <f t="shared" si="141"/>
        <v>0</v>
      </c>
      <c r="M190" s="71"/>
      <c r="N190" s="71">
        <v>11</v>
      </c>
      <c r="O190" s="52">
        <f t="shared" si="142"/>
        <v>11</v>
      </c>
      <c r="P190" s="72">
        <v>21.62</v>
      </c>
      <c r="Q190" s="73">
        <v>11</v>
      </c>
      <c r="R190" s="107"/>
      <c r="S190" s="107"/>
      <c r="T190" s="101"/>
      <c r="U190" s="75"/>
      <c r="V190" s="75"/>
      <c r="W190" s="124">
        <f>SUMPRODUCT(B190:K190,$B$5:K$5)</f>
        <v>0</v>
      </c>
      <c r="X190" s="124">
        <f t="shared" si="143"/>
        <v>237.82000000000002</v>
      </c>
      <c r="Y190" s="124">
        <v>21.62</v>
      </c>
      <c r="Z190" s="124">
        <v>21.62</v>
      </c>
      <c r="AA190" s="124">
        <f t="shared" si="144"/>
        <v>237.82000000000002</v>
      </c>
      <c r="AB190" s="125">
        <f t="shared" si="145"/>
        <v>0</v>
      </c>
      <c r="AC190" s="126">
        <f t="shared" si="146"/>
        <v>237.82000000000002</v>
      </c>
      <c r="AD190" s="127" t="s">
        <v>5</v>
      </c>
      <c r="AE190" s="128"/>
    </row>
    <row r="191" spans="1:31" x14ac:dyDescent="0.25">
      <c r="A191" s="50">
        <v>46128</v>
      </c>
      <c r="B191" s="69"/>
      <c r="C191" s="70"/>
      <c r="D191" s="70"/>
      <c r="E191" s="70"/>
      <c r="F191" s="70"/>
      <c r="G191" s="70"/>
      <c r="H191" s="70"/>
      <c r="I191" s="70"/>
      <c r="J191" s="70"/>
      <c r="K191" s="70"/>
      <c r="L191" s="51">
        <f t="shared" si="141"/>
        <v>0</v>
      </c>
      <c r="M191" s="71"/>
      <c r="N191" s="71">
        <v>11.5</v>
      </c>
      <c r="O191" s="52">
        <f t="shared" si="142"/>
        <v>11.5</v>
      </c>
      <c r="P191" s="72">
        <v>21.62</v>
      </c>
      <c r="Q191" s="73">
        <v>11.5</v>
      </c>
      <c r="R191" s="107"/>
      <c r="S191" s="107"/>
      <c r="T191" s="101"/>
      <c r="U191" s="75"/>
      <c r="V191" s="75"/>
      <c r="W191" s="124">
        <f>SUMPRODUCT(B191:K191,$B$5:K$5)</f>
        <v>0</v>
      </c>
      <c r="X191" s="124">
        <f t="shared" si="143"/>
        <v>248.63000000000002</v>
      </c>
      <c r="Y191" s="124">
        <v>21.62</v>
      </c>
      <c r="Z191" s="124">
        <v>21.62</v>
      </c>
      <c r="AA191" s="124">
        <f t="shared" si="144"/>
        <v>248.63000000000002</v>
      </c>
      <c r="AB191" s="125">
        <f t="shared" si="145"/>
        <v>0</v>
      </c>
      <c r="AC191" s="126">
        <f t="shared" si="146"/>
        <v>248.63000000000002</v>
      </c>
      <c r="AD191" s="127" t="s">
        <v>5</v>
      </c>
      <c r="AE191" s="128"/>
    </row>
    <row r="192" spans="1:31" x14ac:dyDescent="0.25">
      <c r="A192" s="50">
        <v>46129</v>
      </c>
      <c r="B192" s="69"/>
      <c r="C192" s="70"/>
      <c r="D192" s="70"/>
      <c r="E192" s="70"/>
      <c r="F192" s="70"/>
      <c r="G192" s="70"/>
      <c r="H192" s="70"/>
      <c r="I192" s="70"/>
      <c r="J192" s="70"/>
      <c r="K192" s="70"/>
      <c r="L192" s="51">
        <f t="shared" si="141"/>
        <v>0</v>
      </c>
      <c r="M192" s="71"/>
      <c r="N192" s="71">
        <v>11.5</v>
      </c>
      <c r="O192" s="52">
        <f t="shared" si="142"/>
        <v>11.5</v>
      </c>
      <c r="P192" s="72">
        <v>21.62</v>
      </c>
      <c r="Q192" s="73">
        <v>11.5</v>
      </c>
      <c r="R192" s="107"/>
      <c r="S192" s="107"/>
      <c r="T192" s="101"/>
      <c r="U192" s="75"/>
      <c r="V192" s="75"/>
      <c r="W192" s="124">
        <f>SUMPRODUCT(B192:K192,$B$5:K$5)</f>
        <v>0</v>
      </c>
      <c r="X192" s="124">
        <f t="shared" si="143"/>
        <v>248.63000000000002</v>
      </c>
      <c r="Y192" s="124">
        <v>21.62</v>
      </c>
      <c r="Z192" s="124">
        <v>21.62</v>
      </c>
      <c r="AA192" s="124">
        <f t="shared" si="144"/>
        <v>248.63000000000002</v>
      </c>
      <c r="AB192" s="125">
        <f t="shared" si="145"/>
        <v>0</v>
      </c>
      <c r="AC192" s="126">
        <f t="shared" si="146"/>
        <v>248.63000000000002</v>
      </c>
      <c r="AD192" s="127" t="s">
        <v>5</v>
      </c>
      <c r="AE192" s="128"/>
    </row>
    <row r="193" spans="1:31" x14ac:dyDescent="0.25">
      <c r="A193" s="50">
        <v>46130</v>
      </c>
      <c r="B193" s="69"/>
      <c r="C193" s="70"/>
      <c r="D193" s="70"/>
      <c r="E193" s="70"/>
      <c r="F193" s="70"/>
      <c r="G193" s="70"/>
      <c r="H193" s="70"/>
      <c r="I193" s="70"/>
      <c r="J193" s="70"/>
      <c r="K193" s="70"/>
      <c r="L193" s="51">
        <f t="shared" si="141"/>
        <v>0</v>
      </c>
      <c r="M193" s="71"/>
      <c r="N193" s="71">
        <v>10</v>
      </c>
      <c r="O193" s="52">
        <f t="shared" si="142"/>
        <v>10</v>
      </c>
      <c r="P193" s="72">
        <v>21.62</v>
      </c>
      <c r="Q193" s="73">
        <v>10</v>
      </c>
      <c r="R193" s="107"/>
      <c r="S193" s="107"/>
      <c r="T193" s="101"/>
      <c r="U193" s="75"/>
      <c r="V193" s="75"/>
      <c r="W193" s="124">
        <f>SUMPRODUCT(B193:K193,$B$5:K$5)</f>
        <v>0</v>
      </c>
      <c r="X193" s="124">
        <f t="shared" si="143"/>
        <v>216.20000000000002</v>
      </c>
      <c r="Y193" s="124">
        <v>21.62</v>
      </c>
      <c r="Z193" s="124">
        <v>21.62</v>
      </c>
      <c r="AA193" s="124">
        <f t="shared" si="144"/>
        <v>216.20000000000002</v>
      </c>
      <c r="AB193" s="125">
        <f t="shared" si="145"/>
        <v>0</v>
      </c>
      <c r="AC193" s="126">
        <f t="shared" si="146"/>
        <v>216.20000000000002</v>
      </c>
      <c r="AD193" s="127" t="s">
        <v>5</v>
      </c>
      <c r="AE193" s="128"/>
    </row>
    <row r="194" spans="1:31" x14ac:dyDescent="0.25">
      <c r="A194" s="50">
        <v>46131</v>
      </c>
      <c r="B194" s="69"/>
      <c r="C194" s="70"/>
      <c r="D194" s="70"/>
      <c r="E194" s="70"/>
      <c r="F194" s="70"/>
      <c r="G194" s="70"/>
      <c r="H194" s="70"/>
      <c r="I194" s="70"/>
      <c r="J194" s="70"/>
      <c r="K194" s="70"/>
      <c r="L194" s="51">
        <f t="shared" si="141"/>
        <v>0</v>
      </c>
      <c r="M194" s="71"/>
      <c r="N194" s="71">
        <v>11</v>
      </c>
      <c r="O194" s="52">
        <f t="shared" si="142"/>
        <v>11</v>
      </c>
      <c r="P194" s="72">
        <v>21.62</v>
      </c>
      <c r="Q194" s="73">
        <v>11</v>
      </c>
      <c r="R194" s="107"/>
      <c r="S194" s="107"/>
      <c r="T194" s="101"/>
      <c r="U194" s="75"/>
      <c r="V194" s="75"/>
      <c r="W194" s="124">
        <f>SUMPRODUCT(B194:K194,$B$5:K$5)</f>
        <v>0</v>
      </c>
      <c r="X194" s="124">
        <f t="shared" si="143"/>
        <v>237.82000000000002</v>
      </c>
      <c r="Y194" s="124">
        <v>21.62</v>
      </c>
      <c r="Z194" s="124">
        <v>21.62</v>
      </c>
      <c r="AA194" s="124">
        <f t="shared" si="144"/>
        <v>237.82000000000002</v>
      </c>
      <c r="AB194" s="125">
        <f t="shared" si="145"/>
        <v>0</v>
      </c>
      <c r="AC194" s="126">
        <f t="shared" si="146"/>
        <v>237.82000000000002</v>
      </c>
      <c r="AD194" s="127" t="s">
        <v>5</v>
      </c>
      <c r="AE194" s="128"/>
    </row>
    <row r="195" spans="1:31" x14ac:dyDescent="0.25">
      <c r="A195" s="53" t="s">
        <v>31</v>
      </c>
      <c r="B195" s="54">
        <f t="shared" ref="B195:O195" si="147">SUBTOTAL(9,B188:B194)</f>
        <v>0</v>
      </c>
      <c r="C195" s="54">
        <f t="shared" si="147"/>
        <v>0</v>
      </c>
      <c r="D195" s="54">
        <f t="shared" si="147"/>
        <v>0</v>
      </c>
      <c r="E195" s="54">
        <f t="shared" si="147"/>
        <v>0</v>
      </c>
      <c r="F195" s="54">
        <f t="shared" si="147"/>
        <v>0</v>
      </c>
      <c r="G195" s="54">
        <f t="shared" si="147"/>
        <v>0</v>
      </c>
      <c r="H195" s="54">
        <f t="shared" si="147"/>
        <v>0</v>
      </c>
      <c r="I195" s="54">
        <f t="shared" si="147"/>
        <v>0</v>
      </c>
      <c r="J195" s="54">
        <f t="shared" si="147"/>
        <v>0</v>
      </c>
      <c r="K195" s="54">
        <f t="shared" si="147"/>
        <v>0</v>
      </c>
      <c r="L195" s="55">
        <f t="shared" si="147"/>
        <v>0</v>
      </c>
      <c r="M195" s="54">
        <f t="shared" si="147"/>
        <v>0</v>
      </c>
      <c r="N195" s="54">
        <f t="shared" si="147"/>
        <v>78</v>
      </c>
      <c r="O195" s="55">
        <f t="shared" si="147"/>
        <v>78</v>
      </c>
      <c r="P195" s="56"/>
      <c r="Q195" s="57">
        <f>SUBTOTAL(9,Q188:Q194)</f>
        <v>78</v>
      </c>
      <c r="R195" s="92"/>
      <c r="S195" s="92"/>
      <c r="T195" s="102"/>
      <c r="U195" s="81"/>
      <c r="V195" s="81"/>
      <c r="W195" s="129">
        <f>SUBTOTAL(9,W188:W194)</f>
        <v>0</v>
      </c>
      <c r="X195" s="129">
        <f>SUBTOTAL(9,X188:X194)</f>
        <v>1686.3600000000001</v>
      </c>
      <c r="Y195" s="129"/>
      <c r="Z195" s="129"/>
      <c r="AA195" s="129">
        <f>SUBTOTAL(9,AA188:AA194)</f>
        <v>1686.3600000000001</v>
      </c>
      <c r="AB195" s="129">
        <f t="shared" si="145"/>
        <v>0</v>
      </c>
      <c r="AC195" s="129">
        <f t="shared" si="146"/>
        <v>1686.3600000000001</v>
      </c>
      <c r="AD195" s="130"/>
      <c r="AE195" s="129">
        <f>SUBTOTAL(9,AE188:AE194)</f>
        <v>0</v>
      </c>
    </row>
    <row r="196" spans="1:31" customFormat="1" ht="33" customHeight="1" x14ac:dyDescent="0.25">
      <c r="A196" s="45" t="s">
        <v>72</v>
      </c>
      <c r="B196" s="46" t="s">
        <v>73</v>
      </c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7"/>
      <c r="O196" s="48"/>
      <c r="P196" s="46"/>
      <c r="Q196" s="46"/>
      <c r="R196" s="91"/>
      <c r="S196" s="91"/>
      <c r="T196" s="91"/>
      <c r="U196" s="80"/>
      <c r="V196" s="80"/>
      <c r="W196" s="48"/>
      <c r="X196" s="48"/>
      <c r="Y196" s="48"/>
      <c r="Z196" s="48"/>
      <c r="AA196" s="49"/>
      <c r="AB196" s="121"/>
      <c r="AC196" s="121"/>
      <c r="AD196" s="122"/>
      <c r="AE196" s="123"/>
    </row>
    <row r="197" spans="1:31" x14ac:dyDescent="0.25">
      <c r="A197" s="50">
        <v>46125</v>
      </c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51">
        <f t="shared" ref="L197:L203" si="148">SUM(B197:K197)</f>
        <v>0</v>
      </c>
      <c r="M197" s="71"/>
      <c r="N197" s="71">
        <v>10</v>
      </c>
      <c r="O197" s="52">
        <f t="shared" ref="O197:O203" si="149">M197+N197</f>
        <v>10</v>
      </c>
      <c r="P197" s="72">
        <v>16.23</v>
      </c>
      <c r="Q197" s="73">
        <v>10</v>
      </c>
      <c r="R197" s="107"/>
      <c r="S197" s="107"/>
      <c r="T197" s="101"/>
      <c r="U197" s="75"/>
      <c r="V197" s="75"/>
      <c r="W197" s="124">
        <f>SUMPRODUCT(B197:K197,$B$5:K$5)</f>
        <v>0</v>
      </c>
      <c r="X197" s="124">
        <f t="shared" ref="X197:X203" si="150">N197*P197</f>
        <v>162.30000000000001</v>
      </c>
      <c r="Y197" s="124">
        <v>16.23</v>
      </c>
      <c r="Z197" s="124">
        <v>16.23</v>
      </c>
      <c r="AA197" s="124">
        <f t="shared" ref="AA197:AA203" si="151">(M197*Y197)+(N197*Z197)</f>
        <v>162.30000000000001</v>
      </c>
      <c r="AB197" s="125">
        <f t="shared" ref="AB197:AB204" si="152">MAX(AA197-X197-W197,0)</f>
        <v>0</v>
      </c>
      <c r="AC197" s="126">
        <f t="shared" ref="AC197:AC204" si="153">W197+X197+AB197</f>
        <v>162.30000000000001</v>
      </c>
      <c r="AD197" s="127" t="s">
        <v>5</v>
      </c>
      <c r="AE197" s="128"/>
    </row>
    <row r="198" spans="1:31" x14ac:dyDescent="0.25">
      <c r="A198" s="50">
        <v>46126</v>
      </c>
      <c r="B198" s="69"/>
      <c r="C198" s="70"/>
      <c r="D198" s="70"/>
      <c r="E198" s="70"/>
      <c r="F198" s="70"/>
      <c r="G198" s="70"/>
      <c r="H198" s="70"/>
      <c r="I198" s="70"/>
      <c r="J198" s="70"/>
      <c r="K198" s="70"/>
      <c r="L198" s="51">
        <f t="shared" si="148"/>
        <v>0</v>
      </c>
      <c r="M198" s="71"/>
      <c r="N198" s="71">
        <v>11</v>
      </c>
      <c r="O198" s="52">
        <f t="shared" si="149"/>
        <v>11</v>
      </c>
      <c r="P198" s="72">
        <v>16.23</v>
      </c>
      <c r="Q198" s="73">
        <v>11</v>
      </c>
      <c r="R198" s="107"/>
      <c r="S198" s="107"/>
      <c r="T198" s="101"/>
      <c r="U198" s="75"/>
      <c r="V198" s="75"/>
      <c r="W198" s="124">
        <f>SUMPRODUCT(B198:K198,$B$5:K$5)</f>
        <v>0</v>
      </c>
      <c r="X198" s="124">
        <f t="shared" si="150"/>
        <v>178.53</v>
      </c>
      <c r="Y198" s="124">
        <v>16.23</v>
      </c>
      <c r="Z198" s="124">
        <v>16.23</v>
      </c>
      <c r="AA198" s="124">
        <f t="shared" si="151"/>
        <v>178.53</v>
      </c>
      <c r="AB198" s="125">
        <f t="shared" si="152"/>
        <v>0</v>
      </c>
      <c r="AC198" s="126">
        <f t="shared" si="153"/>
        <v>178.53</v>
      </c>
      <c r="AD198" s="127" t="s">
        <v>5</v>
      </c>
      <c r="AE198" s="128"/>
    </row>
    <row r="199" spans="1:31" x14ac:dyDescent="0.25">
      <c r="A199" s="50">
        <v>46127</v>
      </c>
      <c r="B199" s="69"/>
      <c r="C199" s="70"/>
      <c r="D199" s="70"/>
      <c r="E199" s="70"/>
      <c r="F199" s="70"/>
      <c r="G199" s="70"/>
      <c r="H199" s="70"/>
      <c r="I199" s="70"/>
      <c r="J199" s="70"/>
      <c r="K199" s="70"/>
      <c r="L199" s="51">
        <f t="shared" si="148"/>
        <v>0</v>
      </c>
      <c r="M199" s="71"/>
      <c r="N199" s="71">
        <v>10</v>
      </c>
      <c r="O199" s="52">
        <f t="shared" si="149"/>
        <v>10</v>
      </c>
      <c r="P199" s="72">
        <v>16.23</v>
      </c>
      <c r="Q199" s="73">
        <v>10</v>
      </c>
      <c r="R199" s="107"/>
      <c r="S199" s="107"/>
      <c r="T199" s="101"/>
      <c r="U199" s="75"/>
      <c r="V199" s="75"/>
      <c r="W199" s="124">
        <f>SUMPRODUCT(B199:K199,$B$5:K$5)</f>
        <v>0</v>
      </c>
      <c r="X199" s="124">
        <f t="shared" si="150"/>
        <v>162.30000000000001</v>
      </c>
      <c r="Y199" s="124">
        <v>16.23</v>
      </c>
      <c r="Z199" s="124">
        <v>16.23</v>
      </c>
      <c r="AA199" s="124">
        <f t="shared" si="151"/>
        <v>162.30000000000001</v>
      </c>
      <c r="AB199" s="125">
        <f t="shared" si="152"/>
        <v>0</v>
      </c>
      <c r="AC199" s="126">
        <f t="shared" si="153"/>
        <v>162.30000000000001</v>
      </c>
      <c r="AD199" s="127" t="s">
        <v>5</v>
      </c>
      <c r="AE199" s="128"/>
    </row>
    <row r="200" spans="1:31" x14ac:dyDescent="0.25">
      <c r="A200" s="50">
        <v>46128</v>
      </c>
      <c r="B200" s="69"/>
      <c r="C200" s="70"/>
      <c r="D200" s="70"/>
      <c r="E200" s="70"/>
      <c r="F200" s="70"/>
      <c r="G200" s="70"/>
      <c r="H200" s="70"/>
      <c r="I200" s="70"/>
      <c r="J200" s="70"/>
      <c r="K200" s="70"/>
      <c r="L200" s="51">
        <f t="shared" si="148"/>
        <v>0</v>
      </c>
      <c r="M200" s="71"/>
      <c r="N200" s="71">
        <v>11</v>
      </c>
      <c r="O200" s="52">
        <f t="shared" si="149"/>
        <v>11</v>
      </c>
      <c r="P200" s="72">
        <v>16.23</v>
      </c>
      <c r="Q200" s="73">
        <v>11</v>
      </c>
      <c r="R200" s="107"/>
      <c r="S200" s="107"/>
      <c r="T200" s="101"/>
      <c r="U200" s="75"/>
      <c r="V200" s="75"/>
      <c r="W200" s="124">
        <f>SUMPRODUCT(B200:K200,$B$5:K$5)</f>
        <v>0</v>
      </c>
      <c r="X200" s="124">
        <f t="shared" si="150"/>
        <v>178.53</v>
      </c>
      <c r="Y200" s="124">
        <v>16.23</v>
      </c>
      <c r="Z200" s="124">
        <v>16.23</v>
      </c>
      <c r="AA200" s="124">
        <f t="shared" si="151"/>
        <v>178.53</v>
      </c>
      <c r="AB200" s="125">
        <f t="shared" si="152"/>
        <v>0</v>
      </c>
      <c r="AC200" s="126">
        <f t="shared" si="153"/>
        <v>178.53</v>
      </c>
      <c r="AD200" s="127" t="s">
        <v>5</v>
      </c>
      <c r="AE200" s="128"/>
    </row>
    <row r="201" spans="1:31" x14ac:dyDescent="0.25">
      <c r="A201" s="50">
        <v>46129</v>
      </c>
      <c r="B201" s="69"/>
      <c r="C201" s="70"/>
      <c r="D201" s="70"/>
      <c r="E201" s="70"/>
      <c r="F201" s="70"/>
      <c r="G201" s="70"/>
      <c r="H201" s="70"/>
      <c r="I201" s="70"/>
      <c r="J201" s="70"/>
      <c r="K201" s="70"/>
      <c r="L201" s="51">
        <f t="shared" si="148"/>
        <v>0</v>
      </c>
      <c r="M201" s="71"/>
      <c r="N201" s="71">
        <v>10.5</v>
      </c>
      <c r="O201" s="52">
        <f t="shared" si="149"/>
        <v>10.5</v>
      </c>
      <c r="P201" s="72">
        <v>16.23</v>
      </c>
      <c r="Q201" s="73">
        <v>10.5</v>
      </c>
      <c r="R201" s="107"/>
      <c r="S201" s="107"/>
      <c r="T201" s="101"/>
      <c r="U201" s="75"/>
      <c r="V201" s="75"/>
      <c r="W201" s="124">
        <f>SUMPRODUCT(B201:K201,$B$5:K$5)</f>
        <v>0</v>
      </c>
      <c r="X201" s="124">
        <f t="shared" si="150"/>
        <v>170.41499999999999</v>
      </c>
      <c r="Y201" s="124">
        <v>16.23</v>
      </c>
      <c r="Z201" s="124">
        <v>16.23</v>
      </c>
      <c r="AA201" s="124">
        <f t="shared" si="151"/>
        <v>170.41499999999999</v>
      </c>
      <c r="AB201" s="125">
        <f t="shared" si="152"/>
        <v>0</v>
      </c>
      <c r="AC201" s="126">
        <f t="shared" si="153"/>
        <v>170.41499999999999</v>
      </c>
      <c r="AD201" s="127" t="s">
        <v>5</v>
      </c>
      <c r="AE201" s="128"/>
    </row>
    <row r="202" spans="1:31" x14ac:dyDescent="0.25">
      <c r="A202" s="50">
        <v>46130</v>
      </c>
      <c r="B202" s="69"/>
      <c r="C202" s="70"/>
      <c r="D202" s="70"/>
      <c r="E202" s="70"/>
      <c r="F202" s="70"/>
      <c r="G202" s="70"/>
      <c r="H202" s="70"/>
      <c r="I202" s="70"/>
      <c r="J202" s="70"/>
      <c r="K202" s="70"/>
      <c r="L202" s="51">
        <f t="shared" si="148"/>
        <v>0</v>
      </c>
      <c r="M202" s="71"/>
      <c r="N202" s="71">
        <v>8.5</v>
      </c>
      <c r="O202" s="52">
        <f t="shared" si="149"/>
        <v>8.5</v>
      </c>
      <c r="P202" s="72">
        <v>16.23</v>
      </c>
      <c r="Q202" s="73">
        <v>8.5</v>
      </c>
      <c r="R202" s="107"/>
      <c r="S202" s="107"/>
      <c r="T202" s="101"/>
      <c r="U202" s="75"/>
      <c r="V202" s="75"/>
      <c r="W202" s="124">
        <f>SUMPRODUCT(B202:K202,$B$5:K$5)</f>
        <v>0</v>
      </c>
      <c r="X202" s="124">
        <f t="shared" si="150"/>
        <v>137.95500000000001</v>
      </c>
      <c r="Y202" s="124">
        <v>16.23</v>
      </c>
      <c r="Z202" s="124">
        <v>16.23</v>
      </c>
      <c r="AA202" s="124">
        <f t="shared" si="151"/>
        <v>137.95500000000001</v>
      </c>
      <c r="AB202" s="125">
        <f t="shared" si="152"/>
        <v>0</v>
      </c>
      <c r="AC202" s="126">
        <f t="shared" si="153"/>
        <v>137.95500000000001</v>
      </c>
      <c r="AD202" s="127" t="s">
        <v>5</v>
      </c>
      <c r="AE202" s="128"/>
    </row>
    <row r="203" spans="1:31" x14ac:dyDescent="0.25">
      <c r="A203" s="50">
        <v>46131</v>
      </c>
      <c r="B203" s="69"/>
      <c r="C203" s="70"/>
      <c r="D203" s="70"/>
      <c r="E203" s="70"/>
      <c r="F203" s="70"/>
      <c r="G203" s="70"/>
      <c r="H203" s="70"/>
      <c r="I203" s="70"/>
      <c r="J203" s="70"/>
      <c r="K203" s="70"/>
      <c r="L203" s="51">
        <f t="shared" si="148"/>
        <v>0</v>
      </c>
      <c r="M203" s="71"/>
      <c r="N203" s="71">
        <v>10.75</v>
      </c>
      <c r="O203" s="52">
        <f t="shared" si="149"/>
        <v>10.75</v>
      </c>
      <c r="P203" s="72">
        <v>16.23</v>
      </c>
      <c r="Q203" s="73">
        <v>10.75</v>
      </c>
      <c r="R203" s="107"/>
      <c r="S203" s="107"/>
      <c r="T203" s="101"/>
      <c r="U203" s="75"/>
      <c r="V203" s="75"/>
      <c r="W203" s="124">
        <f>SUMPRODUCT(B203:K203,$B$5:K$5)</f>
        <v>0</v>
      </c>
      <c r="X203" s="124">
        <f t="shared" si="150"/>
        <v>174.4725</v>
      </c>
      <c r="Y203" s="124">
        <v>16.23</v>
      </c>
      <c r="Z203" s="124">
        <v>16.23</v>
      </c>
      <c r="AA203" s="124">
        <f t="shared" si="151"/>
        <v>174.4725</v>
      </c>
      <c r="AB203" s="125">
        <f t="shared" si="152"/>
        <v>0</v>
      </c>
      <c r="AC203" s="126">
        <f t="shared" si="153"/>
        <v>174.4725</v>
      </c>
      <c r="AD203" s="127" t="s">
        <v>5</v>
      </c>
      <c r="AE203" s="128"/>
    </row>
    <row r="204" spans="1:31" x14ac:dyDescent="0.25">
      <c r="A204" s="53" t="s">
        <v>31</v>
      </c>
      <c r="B204" s="54">
        <f t="shared" ref="B204:O204" si="154">SUBTOTAL(9,B197:B203)</f>
        <v>0</v>
      </c>
      <c r="C204" s="54">
        <f t="shared" si="154"/>
        <v>0</v>
      </c>
      <c r="D204" s="54">
        <f t="shared" si="154"/>
        <v>0</v>
      </c>
      <c r="E204" s="54">
        <f t="shared" si="154"/>
        <v>0</v>
      </c>
      <c r="F204" s="54">
        <f t="shared" si="154"/>
        <v>0</v>
      </c>
      <c r="G204" s="54">
        <f t="shared" si="154"/>
        <v>0</v>
      </c>
      <c r="H204" s="54">
        <f t="shared" si="154"/>
        <v>0</v>
      </c>
      <c r="I204" s="54">
        <f t="shared" si="154"/>
        <v>0</v>
      </c>
      <c r="J204" s="54">
        <f t="shared" si="154"/>
        <v>0</v>
      </c>
      <c r="K204" s="54">
        <f t="shared" si="154"/>
        <v>0</v>
      </c>
      <c r="L204" s="55">
        <f t="shared" si="154"/>
        <v>0</v>
      </c>
      <c r="M204" s="54">
        <f t="shared" si="154"/>
        <v>0</v>
      </c>
      <c r="N204" s="54">
        <f t="shared" si="154"/>
        <v>71.75</v>
      </c>
      <c r="O204" s="55">
        <f t="shared" si="154"/>
        <v>71.75</v>
      </c>
      <c r="P204" s="56"/>
      <c r="Q204" s="57">
        <f>SUBTOTAL(9,Q197:Q203)</f>
        <v>71.75</v>
      </c>
      <c r="R204" s="92"/>
      <c r="S204" s="92"/>
      <c r="T204" s="102"/>
      <c r="U204" s="81"/>
      <c r="V204" s="81"/>
      <c r="W204" s="129">
        <f>SUBTOTAL(9,W197:W203)</f>
        <v>0</v>
      </c>
      <c r="X204" s="129">
        <f>SUBTOTAL(9,X197:X203)</f>
        <v>1164.5025000000001</v>
      </c>
      <c r="Y204" s="129"/>
      <c r="Z204" s="129"/>
      <c r="AA204" s="129">
        <f>SUBTOTAL(9,AA197:AA203)</f>
        <v>1164.5025000000001</v>
      </c>
      <c r="AB204" s="129">
        <f t="shared" si="152"/>
        <v>0</v>
      </c>
      <c r="AC204" s="129">
        <f t="shared" si="153"/>
        <v>1164.5025000000001</v>
      </c>
      <c r="AD204" s="130"/>
      <c r="AE204" s="129">
        <f>SUBTOTAL(9,AE197:AE203)</f>
        <v>0</v>
      </c>
    </row>
    <row r="205" spans="1:31" customFormat="1" ht="33" customHeight="1" x14ac:dyDescent="0.25">
      <c r="A205" s="45" t="s">
        <v>74</v>
      </c>
      <c r="B205" s="46" t="s">
        <v>75</v>
      </c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7"/>
      <c r="O205" s="48"/>
      <c r="P205" s="46"/>
      <c r="Q205" s="46"/>
      <c r="R205" s="91"/>
      <c r="S205" s="91"/>
      <c r="T205" s="91"/>
      <c r="U205" s="80"/>
      <c r="V205" s="80"/>
      <c r="W205" s="48"/>
      <c r="X205" s="48"/>
      <c r="Y205" s="48"/>
      <c r="Z205" s="48"/>
      <c r="AA205" s="49"/>
      <c r="AB205" s="121"/>
      <c r="AC205" s="121"/>
      <c r="AD205" s="122"/>
      <c r="AE205" s="123"/>
    </row>
    <row r="206" spans="1:31" x14ac:dyDescent="0.25">
      <c r="A206" s="50">
        <v>46125</v>
      </c>
      <c r="B206" s="69"/>
      <c r="C206" s="70"/>
      <c r="D206" s="70"/>
      <c r="E206" s="70"/>
      <c r="F206" s="70"/>
      <c r="G206" s="70"/>
      <c r="H206" s="70"/>
      <c r="I206" s="70"/>
      <c r="J206" s="70"/>
      <c r="K206" s="70"/>
      <c r="L206" s="51">
        <f t="shared" ref="L206:L212" si="155">SUM(B206:K206)</f>
        <v>0</v>
      </c>
      <c r="M206" s="71"/>
      <c r="N206" s="71">
        <v>11</v>
      </c>
      <c r="O206" s="52">
        <f t="shared" ref="O206:O212" si="156">M206+N206</f>
        <v>11</v>
      </c>
      <c r="P206" s="72">
        <v>16.23</v>
      </c>
      <c r="Q206" s="73">
        <v>11</v>
      </c>
      <c r="R206" s="107"/>
      <c r="S206" s="107"/>
      <c r="T206" s="101"/>
      <c r="U206" s="75"/>
      <c r="V206" s="75"/>
      <c r="W206" s="124">
        <f>SUMPRODUCT(B206:K206,$B$5:K$5)</f>
        <v>0</v>
      </c>
      <c r="X206" s="124">
        <f t="shared" ref="X206:X212" si="157">N206*P206</f>
        <v>178.53</v>
      </c>
      <c r="Y206" s="124">
        <v>16.23</v>
      </c>
      <c r="Z206" s="124">
        <v>16.23</v>
      </c>
      <c r="AA206" s="124">
        <f t="shared" ref="AA206:AA212" si="158">(M206*Y206)+(N206*Z206)</f>
        <v>178.53</v>
      </c>
      <c r="AB206" s="125">
        <f t="shared" ref="AB206:AB213" si="159">MAX(AA206-X206-W206,0)</f>
        <v>0</v>
      </c>
      <c r="AC206" s="126">
        <f t="shared" ref="AC206:AC213" si="160">W206+X206+AB206</f>
        <v>178.53</v>
      </c>
      <c r="AD206" s="127" t="s">
        <v>5</v>
      </c>
      <c r="AE206" s="128"/>
    </row>
    <row r="207" spans="1:31" x14ac:dyDescent="0.25">
      <c r="A207" s="50">
        <v>46126</v>
      </c>
      <c r="B207" s="69"/>
      <c r="C207" s="70"/>
      <c r="D207" s="70"/>
      <c r="E207" s="70"/>
      <c r="F207" s="70"/>
      <c r="G207" s="70"/>
      <c r="H207" s="70"/>
      <c r="I207" s="70"/>
      <c r="J207" s="70"/>
      <c r="K207" s="70"/>
      <c r="L207" s="51">
        <f t="shared" si="155"/>
        <v>0</v>
      </c>
      <c r="M207" s="71"/>
      <c r="N207" s="71">
        <v>11</v>
      </c>
      <c r="O207" s="52">
        <f t="shared" si="156"/>
        <v>11</v>
      </c>
      <c r="P207" s="72">
        <v>16.23</v>
      </c>
      <c r="Q207" s="73">
        <v>11</v>
      </c>
      <c r="R207" s="107"/>
      <c r="S207" s="107"/>
      <c r="T207" s="101"/>
      <c r="U207" s="75"/>
      <c r="V207" s="75"/>
      <c r="W207" s="124">
        <f>SUMPRODUCT(B207:K207,$B$5:K$5)</f>
        <v>0</v>
      </c>
      <c r="X207" s="124">
        <f t="shared" si="157"/>
        <v>178.53</v>
      </c>
      <c r="Y207" s="124">
        <v>16.23</v>
      </c>
      <c r="Z207" s="124">
        <v>16.23</v>
      </c>
      <c r="AA207" s="124">
        <f t="shared" si="158"/>
        <v>178.53</v>
      </c>
      <c r="AB207" s="125">
        <f t="shared" si="159"/>
        <v>0</v>
      </c>
      <c r="AC207" s="126">
        <f t="shared" si="160"/>
        <v>178.53</v>
      </c>
      <c r="AD207" s="127" t="s">
        <v>5</v>
      </c>
      <c r="AE207" s="128"/>
    </row>
    <row r="208" spans="1:31" x14ac:dyDescent="0.25">
      <c r="A208" s="50">
        <v>46127</v>
      </c>
      <c r="B208" s="69"/>
      <c r="C208" s="70"/>
      <c r="D208" s="70"/>
      <c r="E208" s="70"/>
      <c r="F208" s="70"/>
      <c r="G208" s="70"/>
      <c r="H208" s="70"/>
      <c r="I208" s="70"/>
      <c r="J208" s="70"/>
      <c r="K208" s="70"/>
      <c r="L208" s="51">
        <f t="shared" si="155"/>
        <v>0</v>
      </c>
      <c r="M208" s="71"/>
      <c r="N208" s="71">
        <v>11</v>
      </c>
      <c r="O208" s="52">
        <f t="shared" si="156"/>
        <v>11</v>
      </c>
      <c r="P208" s="72">
        <v>16.23</v>
      </c>
      <c r="Q208" s="73">
        <v>11</v>
      </c>
      <c r="R208" s="107"/>
      <c r="S208" s="107"/>
      <c r="T208" s="101"/>
      <c r="U208" s="75"/>
      <c r="V208" s="75"/>
      <c r="W208" s="124">
        <f>SUMPRODUCT(B208:K208,$B$5:K$5)</f>
        <v>0</v>
      </c>
      <c r="X208" s="124">
        <f t="shared" si="157"/>
        <v>178.53</v>
      </c>
      <c r="Y208" s="124">
        <v>16.23</v>
      </c>
      <c r="Z208" s="124">
        <v>16.23</v>
      </c>
      <c r="AA208" s="124">
        <f t="shared" si="158"/>
        <v>178.53</v>
      </c>
      <c r="AB208" s="125">
        <f t="shared" si="159"/>
        <v>0</v>
      </c>
      <c r="AC208" s="126">
        <f t="shared" si="160"/>
        <v>178.53</v>
      </c>
      <c r="AD208" s="127" t="s">
        <v>5</v>
      </c>
      <c r="AE208" s="128"/>
    </row>
    <row r="209" spans="1:31" x14ac:dyDescent="0.25">
      <c r="A209" s="50">
        <v>46128</v>
      </c>
      <c r="B209" s="69"/>
      <c r="C209" s="70"/>
      <c r="D209" s="70"/>
      <c r="E209" s="70"/>
      <c r="F209" s="70"/>
      <c r="G209" s="70"/>
      <c r="H209" s="70"/>
      <c r="I209" s="70"/>
      <c r="J209" s="70"/>
      <c r="K209" s="70"/>
      <c r="L209" s="51">
        <f t="shared" si="155"/>
        <v>0</v>
      </c>
      <c r="M209" s="71"/>
      <c r="N209" s="71">
        <v>11</v>
      </c>
      <c r="O209" s="52">
        <f t="shared" si="156"/>
        <v>11</v>
      </c>
      <c r="P209" s="72">
        <v>16.23</v>
      </c>
      <c r="Q209" s="73">
        <v>11</v>
      </c>
      <c r="R209" s="107"/>
      <c r="S209" s="107"/>
      <c r="T209" s="101"/>
      <c r="U209" s="75"/>
      <c r="V209" s="75"/>
      <c r="W209" s="124">
        <f>SUMPRODUCT(B209:K209,$B$5:K$5)</f>
        <v>0</v>
      </c>
      <c r="X209" s="124">
        <f t="shared" si="157"/>
        <v>178.53</v>
      </c>
      <c r="Y209" s="124">
        <v>16.23</v>
      </c>
      <c r="Z209" s="124">
        <v>16.23</v>
      </c>
      <c r="AA209" s="124">
        <f t="shared" si="158"/>
        <v>178.53</v>
      </c>
      <c r="AB209" s="125">
        <f t="shared" si="159"/>
        <v>0</v>
      </c>
      <c r="AC209" s="126">
        <f t="shared" si="160"/>
        <v>178.53</v>
      </c>
      <c r="AD209" s="127" t="s">
        <v>5</v>
      </c>
      <c r="AE209" s="128"/>
    </row>
    <row r="210" spans="1:31" x14ac:dyDescent="0.25">
      <c r="A210" s="50">
        <v>46129</v>
      </c>
      <c r="B210" s="69"/>
      <c r="C210" s="70"/>
      <c r="D210" s="70"/>
      <c r="E210" s="70"/>
      <c r="F210" s="70"/>
      <c r="G210" s="70"/>
      <c r="H210" s="70"/>
      <c r="I210" s="70"/>
      <c r="J210" s="70"/>
      <c r="K210" s="70"/>
      <c r="L210" s="51">
        <f t="shared" si="155"/>
        <v>0</v>
      </c>
      <c r="M210" s="71"/>
      <c r="N210" s="71">
        <v>11</v>
      </c>
      <c r="O210" s="52">
        <f t="shared" si="156"/>
        <v>11</v>
      </c>
      <c r="P210" s="72">
        <v>16.23</v>
      </c>
      <c r="Q210" s="73">
        <v>11</v>
      </c>
      <c r="R210" s="107"/>
      <c r="S210" s="107"/>
      <c r="T210" s="101"/>
      <c r="U210" s="75"/>
      <c r="V210" s="75"/>
      <c r="W210" s="124">
        <f>SUMPRODUCT(B210:K210,$B$5:K$5)</f>
        <v>0</v>
      </c>
      <c r="X210" s="124">
        <f t="shared" si="157"/>
        <v>178.53</v>
      </c>
      <c r="Y210" s="124">
        <v>16.23</v>
      </c>
      <c r="Z210" s="124">
        <v>16.23</v>
      </c>
      <c r="AA210" s="124">
        <f t="shared" si="158"/>
        <v>178.53</v>
      </c>
      <c r="AB210" s="125">
        <f t="shared" si="159"/>
        <v>0</v>
      </c>
      <c r="AC210" s="126">
        <f t="shared" si="160"/>
        <v>178.53</v>
      </c>
      <c r="AD210" s="127" t="s">
        <v>5</v>
      </c>
      <c r="AE210" s="128"/>
    </row>
    <row r="211" spans="1:31" x14ac:dyDescent="0.25">
      <c r="A211" s="50">
        <v>46130</v>
      </c>
      <c r="B211" s="69"/>
      <c r="C211" s="70"/>
      <c r="D211" s="70"/>
      <c r="E211" s="70"/>
      <c r="F211" s="70"/>
      <c r="G211" s="70"/>
      <c r="H211" s="70"/>
      <c r="I211" s="70"/>
      <c r="J211" s="70"/>
      <c r="K211" s="70"/>
      <c r="L211" s="51">
        <f t="shared" si="155"/>
        <v>0</v>
      </c>
      <c r="M211" s="71"/>
      <c r="N211" s="71">
        <v>10</v>
      </c>
      <c r="O211" s="52">
        <f t="shared" si="156"/>
        <v>10</v>
      </c>
      <c r="P211" s="72">
        <v>16.23</v>
      </c>
      <c r="Q211" s="73">
        <v>10</v>
      </c>
      <c r="R211" s="107"/>
      <c r="S211" s="107"/>
      <c r="T211" s="101"/>
      <c r="U211" s="75"/>
      <c r="V211" s="75"/>
      <c r="W211" s="124">
        <f>SUMPRODUCT(B211:K211,$B$5:K$5)</f>
        <v>0</v>
      </c>
      <c r="X211" s="124">
        <f t="shared" si="157"/>
        <v>162.30000000000001</v>
      </c>
      <c r="Y211" s="124">
        <v>16.23</v>
      </c>
      <c r="Z211" s="124">
        <v>16.23</v>
      </c>
      <c r="AA211" s="124">
        <f t="shared" si="158"/>
        <v>162.30000000000001</v>
      </c>
      <c r="AB211" s="125">
        <f t="shared" si="159"/>
        <v>0</v>
      </c>
      <c r="AC211" s="126">
        <f t="shared" si="160"/>
        <v>162.30000000000001</v>
      </c>
      <c r="AD211" s="127" t="s">
        <v>5</v>
      </c>
      <c r="AE211" s="128"/>
    </row>
    <row r="212" spans="1:31" x14ac:dyDescent="0.25">
      <c r="A212" s="50">
        <v>46131</v>
      </c>
      <c r="B212" s="69"/>
      <c r="C212" s="70"/>
      <c r="D212" s="70"/>
      <c r="E212" s="70"/>
      <c r="F212" s="70"/>
      <c r="G212" s="70"/>
      <c r="H212" s="70"/>
      <c r="I212" s="70"/>
      <c r="J212" s="70"/>
      <c r="K212" s="70"/>
      <c r="L212" s="51">
        <f t="shared" si="155"/>
        <v>0</v>
      </c>
      <c r="M212" s="71"/>
      <c r="N212" s="71">
        <v>7.5</v>
      </c>
      <c r="O212" s="52">
        <f t="shared" si="156"/>
        <v>7.5</v>
      </c>
      <c r="P212" s="72">
        <v>16.23</v>
      </c>
      <c r="Q212" s="73">
        <v>7.5</v>
      </c>
      <c r="R212" s="107"/>
      <c r="S212" s="107"/>
      <c r="T212" s="101"/>
      <c r="U212" s="75"/>
      <c r="V212" s="75"/>
      <c r="W212" s="124">
        <f>SUMPRODUCT(B212:K212,$B$5:K$5)</f>
        <v>0</v>
      </c>
      <c r="X212" s="124">
        <f t="shared" si="157"/>
        <v>121.72500000000001</v>
      </c>
      <c r="Y212" s="124">
        <v>16.23</v>
      </c>
      <c r="Z212" s="124">
        <v>16.23</v>
      </c>
      <c r="AA212" s="124">
        <f t="shared" si="158"/>
        <v>121.72500000000001</v>
      </c>
      <c r="AB212" s="125">
        <f t="shared" si="159"/>
        <v>0</v>
      </c>
      <c r="AC212" s="126">
        <f t="shared" si="160"/>
        <v>121.72500000000001</v>
      </c>
      <c r="AD212" s="127" t="s">
        <v>5</v>
      </c>
      <c r="AE212" s="128"/>
    </row>
    <row r="213" spans="1:31" x14ac:dyDescent="0.25">
      <c r="A213" s="53" t="s">
        <v>31</v>
      </c>
      <c r="B213" s="54">
        <f t="shared" ref="B213:O213" si="161">SUBTOTAL(9,B206:B212)</f>
        <v>0</v>
      </c>
      <c r="C213" s="54">
        <f t="shared" si="161"/>
        <v>0</v>
      </c>
      <c r="D213" s="54">
        <f t="shared" si="161"/>
        <v>0</v>
      </c>
      <c r="E213" s="54">
        <f t="shared" si="161"/>
        <v>0</v>
      </c>
      <c r="F213" s="54">
        <f t="shared" si="161"/>
        <v>0</v>
      </c>
      <c r="G213" s="54">
        <f t="shared" si="161"/>
        <v>0</v>
      </c>
      <c r="H213" s="54">
        <f t="shared" si="161"/>
        <v>0</v>
      </c>
      <c r="I213" s="54">
        <f t="shared" si="161"/>
        <v>0</v>
      </c>
      <c r="J213" s="54">
        <f t="shared" si="161"/>
        <v>0</v>
      </c>
      <c r="K213" s="54">
        <f t="shared" si="161"/>
        <v>0</v>
      </c>
      <c r="L213" s="55">
        <f t="shared" si="161"/>
        <v>0</v>
      </c>
      <c r="M213" s="54">
        <f t="shared" si="161"/>
        <v>0</v>
      </c>
      <c r="N213" s="54">
        <f t="shared" si="161"/>
        <v>72.5</v>
      </c>
      <c r="O213" s="55">
        <f t="shared" si="161"/>
        <v>72.5</v>
      </c>
      <c r="P213" s="56"/>
      <c r="Q213" s="57">
        <f>SUBTOTAL(9,Q206:Q212)</f>
        <v>72.5</v>
      </c>
      <c r="R213" s="92"/>
      <c r="S213" s="92"/>
      <c r="T213" s="102"/>
      <c r="U213" s="81"/>
      <c r="V213" s="81"/>
      <c r="W213" s="129">
        <f>SUBTOTAL(9,W206:W212)</f>
        <v>0</v>
      </c>
      <c r="X213" s="129">
        <f>SUBTOTAL(9,X206:X212)</f>
        <v>1176.675</v>
      </c>
      <c r="Y213" s="129"/>
      <c r="Z213" s="129"/>
      <c r="AA213" s="129">
        <f>SUBTOTAL(9,AA206:AA212)</f>
        <v>1176.675</v>
      </c>
      <c r="AB213" s="129">
        <f t="shared" si="159"/>
        <v>0</v>
      </c>
      <c r="AC213" s="129">
        <f t="shared" si="160"/>
        <v>1176.675</v>
      </c>
      <c r="AD213" s="130"/>
      <c r="AE213" s="129">
        <f>SUBTOTAL(9,AE206:AE212)</f>
        <v>0</v>
      </c>
    </row>
    <row r="214" spans="1:31" customFormat="1" ht="33" customHeight="1" x14ac:dyDescent="0.25">
      <c r="A214" s="45" t="s">
        <v>76</v>
      </c>
      <c r="B214" s="46" t="s">
        <v>77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7"/>
      <c r="O214" s="48"/>
      <c r="P214" s="46"/>
      <c r="Q214" s="46"/>
      <c r="R214" s="91"/>
      <c r="S214" s="91"/>
      <c r="T214" s="91"/>
      <c r="U214" s="80"/>
      <c r="V214" s="80"/>
      <c r="W214" s="48"/>
      <c r="X214" s="48"/>
      <c r="Y214" s="48"/>
      <c r="Z214" s="48"/>
      <c r="AA214" s="49"/>
      <c r="AB214" s="121"/>
      <c r="AC214" s="121"/>
      <c r="AD214" s="122"/>
      <c r="AE214" s="123"/>
    </row>
    <row r="215" spans="1:31" x14ac:dyDescent="0.25">
      <c r="A215" s="50">
        <v>46125</v>
      </c>
      <c r="B215" s="69"/>
      <c r="C215" s="70"/>
      <c r="D215" s="70"/>
      <c r="E215" s="70"/>
      <c r="F215" s="70"/>
      <c r="G215" s="70"/>
      <c r="H215" s="70"/>
      <c r="I215" s="70"/>
      <c r="J215" s="70"/>
      <c r="K215" s="70"/>
      <c r="L215" s="51">
        <f t="shared" ref="L215:L221" si="162">SUM(B215:K215)</f>
        <v>0</v>
      </c>
      <c r="M215" s="71"/>
      <c r="N215" s="71">
        <v>10</v>
      </c>
      <c r="O215" s="52">
        <f t="shared" ref="O215:O221" si="163">M215+N215</f>
        <v>10</v>
      </c>
      <c r="P215" s="72">
        <v>16.23</v>
      </c>
      <c r="Q215" s="73">
        <v>10</v>
      </c>
      <c r="R215" s="107"/>
      <c r="S215" s="107"/>
      <c r="T215" s="101"/>
      <c r="U215" s="75"/>
      <c r="V215" s="75"/>
      <c r="W215" s="124">
        <f>SUMPRODUCT(B215:K215,$B$5:K$5)</f>
        <v>0</v>
      </c>
      <c r="X215" s="124">
        <f t="shared" ref="X215:X221" si="164">N215*P215</f>
        <v>162.30000000000001</v>
      </c>
      <c r="Y215" s="124">
        <v>16.23</v>
      </c>
      <c r="Z215" s="124">
        <v>16.23</v>
      </c>
      <c r="AA215" s="124">
        <f t="shared" ref="AA215:AA221" si="165">(M215*Y215)+(N215*Z215)</f>
        <v>162.30000000000001</v>
      </c>
      <c r="AB215" s="125">
        <f t="shared" ref="AB215:AB222" si="166">MAX(AA215-X215-W215,0)</f>
        <v>0</v>
      </c>
      <c r="AC215" s="126">
        <f t="shared" ref="AC215:AC222" si="167">W215+X215+AB215</f>
        <v>162.30000000000001</v>
      </c>
      <c r="AD215" s="127" t="s">
        <v>5</v>
      </c>
      <c r="AE215" s="128"/>
    </row>
    <row r="216" spans="1:31" x14ac:dyDescent="0.25">
      <c r="A216" s="50">
        <v>46126</v>
      </c>
      <c r="B216" s="69"/>
      <c r="C216" s="70"/>
      <c r="D216" s="70"/>
      <c r="E216" s="70"/>
      <c r="F216" s="70"/>
      <c r="G216" s="70"/>
      <c r="H216" s="70"/>
      <c r="I216" s="70"/>
      <c r="J216" s="70"/>
      <c r="K216" s="70"/>
      <c r="L216" s="51">
        <f t="shared" si="162"/>
        <v>0</v>
      </c>
      <c r="M216" s="71"/>
      <c r="N216" s="71">
        <v>10</v>
      </c>
      <c r="O216" s="52">
        <f t="shared" si="163"/>
        <v>10</v>
      </c>
      <c r="P216" s="72">
        <v>16.23</v>
      </c>
      <c r="Q216" s="73">
        <v>10</v>
      </c>
      <c r="R216" s="107"/>
      <c r="S216" s="107"/>
      <c r="T216" s="101"/>
      <c r="U216" s="75"/>
      <c r="V216" s="75"/>
      <c r="W216" s="124">
        <f>SUMPRODUCT(B216:K216,$B$5:K$5)</f>
        <v>0</v>
      </c>
      <c r="X216" s="124">
        <f t="shared" si="164"/>
        <v>162.30000000000001</v>
      </c>
      <c r="Y216" s="124">
        <v>16.23</v>
      </c>
      <c r="Z216" s="124">
        <v>16.23</v>
      </c>
      <c r="AA216" s="124">
        <f t="shared" si="165"/>
        <v>162.30000000000001</v>
      </c>
      <c r="AB216" s="125">
        <f t="shared" si="166"/>
        <v>0</v>
      </c>
      <c r="AC216" s="126">
        <f t="shared" si="167"/>
        <v>162.30000000000001</v>
      </c>
      <c r="AD216" s="127" t="s">
        <v>5</v>
      </c>
      <c r="AE216" s="128"/>
    </row>
    <row r="217" spans="1:31" x14ac:dyDescent="0.25">
      <c r="A217" s="50">
        <v>46127</v>
      </c>
      <c r="B217" s="69"/>
      <c r="C217" s="70"/>
      <c r="D217" s="70"/>
      <c r="E217" s="70"/>
      <c r="F217" s="70"/>
      <c r="G217" s="70"/>
      <c r="H217" s="70"/>
      <c r="I217" s="70"/>
      <c r="J217" s="70"/>
      <c r="K217" s="70"/>
      <c r="L217" s="51">
        <f t="shared" si="162"/>
        <v>0</v>
      </c>
      <c r="M217" s="71"/>
      <c r="N217" s="71">
        <v>10</v>
      </c>
      <c r="O217" s="52">
        <f t="shared" si="163"/>
        <v>10</v>
      </c>
      <c r="P217" s="72">
        <v>16.23</v>
      </c>
      <c r="Q217" s="73">
        <v>10</v>
      </c>
      <c r="R217" s="107"/>
      <c r="S217" s="107"/>
      <c r="T217" s="101"/>
      <c r="U217" s="75"/>
      <c r="V217" s="75"/>
      <c r="W217" s="124">
        <f>SUMPRODUCT(B217:K217,$B$5:K$5)</f>
        <v>0</v>
      </c>
      <c r="X217" s="124">
        <f t="shared" si="164"/>
        <v>162.30000000000001</v>
      </c>
      <c r="Y217" s="124">
        <v>16.23</v>
      </c>
      <c r="Z217" s="124">
        <v>16.23</v>
      </c>
      <c r="AA217" s="124">
        <f t="shared" si="165"/>
        <v>162.30000000000001</v>
      </c>
      <c r="AB217" s="125">
        <f t="shared" si="166"/>
        <v>0</v>
      </c>
      <c r="AC217" s="126">
        <f t="shared" si="167"/>
        <v>162.30000000000001</v>
      </c>
      <c r="AD217" s="127" t="s">
        <v>5</v>
      </c>
      <c r="AE217" s="128"/>
    </row>
    <row r="218" spans="1:31" x14ac:dyDescent="0.25">
      <c r="A218" s="50">
        <v>46128</v>
      </c>
      <c r="B218" s="69"/>
      <c r="C218" s="70"/>
      <c r="D218" s="70"/>
      <c r="E218" s="70"/>
      <c r="F218" s="70"/>
      <c r="G218" s="70"/>
      <c r="H218" s="70"/>
      <c r="I218" s="70"/>
      <c r="J218" s="70"/>
      <c r="K218" s="70"/>
      <c r="L218" s="51">
        <f t="shared" si="162"/>
        <v>0</v>
      </c>
      <c r="M218" s="71"/>
      <c r="N218" s="71">
        <v>10</v>
      </c>
      <c r="O218" s="52">
        <f t="shared" si="163"/>
        <v>10</v>
      </c>
      <c r="P218" s="72">
        <v>16.23</v>
      </c>
      <c r="Q218" s="73">
        <v>10</v>
      </c>
      <c r="R218" s="107"/>
      <c r="S218" s="107"/>
      <c r="T218" s="101"/>
      <c r="U218" s="75"/>
      <c r="V218" s="75"/>
      <c r="W218" s="124">
        <f>SUMPRODUCT(B218:K218,$B$5:K$5)</f>
        <v>0</v>
      </c>
      <c r="X218" s="124">
        <f t="shared" si="164"/>
        <v>162.30000000000001</v>
      </c>
      <c r="Y218" s="124">
        <v>16.23</v>
      </c>
      <c r="Z218" s="124">
        <v>16.23</v>
      </c>
      <c r="AA218" s="124">
        <f t="shared" si="165"/>
        <v>162.30000000000001</v>
      </c>
      <c r="AB218" s="125">
        <f t="shared" si="166"/>
        <v>0</v>
      </c>
      <c r="AC218" s="126">
        <f t="shared" si="167"/>
        <v>162.30000000000001</v>
      </c>
      <c r="AD218" s="127" t="s">
        <v>5</v>
      </c>
      <c r="AE218" s="128"/>
    </row>
    <row r="219" spans="1:31" x14ac:dyDescent="0.25">
      <c r="A219" s="50">
        <v>46129</v>
      </c>
      <c r="B219" s="69"/>
      <c r="C219" s="70"/>
      <c r="D219" s="70"/>
      <c r="E219" s="70"/>
      <c r="F219" s="70"/>
      <c r="G219" s="70"/>
      <c r="H219" s="70"/>
      <c r="I219" s="70"/>
      <c r="J219" s="70"/>
      <c r="K219" s="70"/>
      <c r="L219" s="51">
        <f t="shared" si="162"/>
        <v>0</v>
      </c>
      <c r="M219" s="71"/>
      <c r="N219" s="71">
        <v>10</v>
      </c>
      <c r="O219" s="52">
        <f t="shared" si="163"/>
        <v>10</v>
      </c>
      <c r="P219" s="72">
        <v>16.23</v>
      </c>
      <c r="Q219" s="73">
        <v>10</v>
      </c>
      <c r="R219" s="107"/>
      <c r="S219" s="107"/>
      <c r="T219" s="101"/>
      <c r="U219" s="75"/>
      <c r="V219" s="75"/>
      <c r="W219" s="124">
        <f>SUMPRODUCT(B219:K219,$B$5:K$5)</f>
        <v>0</v>
      </c>
      <c r="X219" s="124">
        <f t="shared" si="164"/>
        <v>162.30000000000001</v>
      </c>
      <c r="Y219" s="124">
        <v>16.23</v>
      </c>
      <c r="Z219" s="124">
        <v>16.23</v>
      </c>
      <c r="AA219" s="124">
        <f t="shared" si="165"/>
        <v>162.30000000000001</v>
      </c>
      <c r="AB219" s="125">
        <f t="shared" si="166"/>
        <v>0</v>
      </c>
      <c r="AC219" s="126">
        <f t="shared" si="167"/>
        <v>162.30000000000001</v>
      </c>
      <c r="AD219" s="127" t="s">
        <v>5</v>
      </c>
      <c r="AE219" s="128"/>
    </row>
    <row r="220" spans="1:31" x14ac:dyDescent="0.25">
      <c r="A220" s="50">
        <v>46130</v>
      </c>
      <c r="B220" s="69"/>
      <c r="C220" s="70"/>
      <c r="D220" s="70"/>
      <c r="E220" s="70"/>
      <c r="F220" s="70"/>
      <c r="G220" s="70"/>
      <c r="H220" s="70"/>
      <c r="I220" s="70"/>
      <c r="J220" s="70"/>
      <c r="K220" s="70"/>
      <c r="L220" s="51">
        <f t="shared" si="162"/>
        <v>0</v>
      </c>
      <c r="M220" s="71"/>
      <c r="N220" s="71">
        <v>10</v>
      </c>
      <c r="O220" s="52">
        <f t="shared" si="163"/>
        <v>10</v>
      </c>
      <c r="P220" s="72">
        <v>16.23</v>
      </c>
      <c r="Q220" s="73">
        <v>10</v>
      </c>
      <c r="R220" s="107"/>
      <c r="S220" s="107"/>
      <c r="T220" s="101"/>
      <c r="U220" s="75"/>
      <c r="V220" s="75"/>
      <c r="W220" s="124">
        <f>SUMPRODUCT(B220:K220,$B$5:K$5)</f>
        <v>0</v>
      </c>
      <c r="X220" s="124">
        <f t="shared" si="164"/>
        <v>162.30000000000001</v>
      </c>
      <c r="Y220" s="124">
        <v>16.23</v>
      </c>
      <c r="Z220" s="124">
        <v>16.23</v>
      </c>
      <c r="AA220" s="124">
        <f t="shared" si="165"/>
        <v>162.30000000000001</v>
      </c>
      <c r="AB220" s="125">
        <f t="shared" si="166"/>
        <v>0</v>
      </c>
      <c r="AC220" s="126">
        <f t="shared" si="167"/>
        <v>162.30000000000001</v>
      </c>
      <c r="AD220" s="127" t="s">
        <v>5</v>
      </c>
      <c r="AE220" s="128"/>
    </row>
    <row r="221" spans="1:31" x14ac:dyDescent="0.25">
      <c r="A221" s="50">
        <v>46131</v>
      </c>
      <c r="B221" s="69"/>
      <c r="C221" s="70"/>
      <c r="D221" s="70"/>
      <c r="E221" s="70"/>
      <c r="F221" s="70"/>
      <c r="G221" s="70"/>
      <c r="H221" s="70"/>
      <c r="I221" s="70"/>
      <c r="J221" s="70"/>
      <c r="K221" s="70"/>
      <c r="L221" s="51">
        <f t="shared" si="162"/>
        <v>0</v>
      </c>
      <c r="M221" s="71"/>
      <c r="N221" s="71"/>
      <c r="O221" s="52">
        <f t="shared" si="163"/>
        <v>0</v>
      </c>
      <c r="P221" s="72">
        <v>16.23</v>
      </c>
      <c r="Q221" s="73"/>
      <c r="R221" s="107"/>
      <c r="S221" s="107"/>
      <c r="T221" s="101"/>
      <c r="U221" s="75"/>
      <c r="V221" s="75"/>
      <c r="W221" s="124">
        <f>SUMPRODUCT(B221:K221,$B$5:K$5)</f>
        <v>0</v>
      </c>
      <c r="X221" s="124">
        <f t="shared" si="164"/>
        <v>0</v>
      </c>
      <c r="Y221" s="124">
        <v>16.23</v>
      </c>
      <c r="Z221" s="124">
        <v>16.23</v>
      </c>
      <c r="AA221" s="124">
        <f t="shared" si="165"/>
        <v>0</v>
      </c>
      <c r="AB221" s="125">
        <f t="shared" si="166"/>
        <v>0</v>
      </c>
      <c r="AC221" s="126">
        <f t="shared" si="167"/>
        <v>0</v>
      </c>
      <c r="AD221" s="127" t="s">
        <v>5</v>
      </c>
      <c r="AE221" s="128"/>
    </row>
    <row r="222" spans="1:31" x14ac:dyDescent="0.25">
      <c r="A222" s="53" t="s">
        <v>31</v>
      </c>
      <c r="B222" s="54">
        <f t="shared" ref="B222:O222" si="168">SUBTOTAL(9,B215:B221)</f>
        <v>0</v>
      </c>
      <c r="C222" s="54">
        <f t="shared" si="168"/>
        <v>0</v>
      </c>
      <c r="D222" s="54">
        <f t="shared" si="168"/>
        <v>0</v>
      </c>
      <c r="E222" s="54">
        <f t="shared" si="168"/>
        <v>0</v>
      </c>
      <c r="F222" s="54">
        <f t="shared" si="168"/>
        <v>0</v>
      </c>
      <c r="G222" s="54">
        <f t="shared" si="168"/>
        <v>0</v>
      </c>
      <c r="H222" s="54">
        <f t="shared" si="168"/>
        <v>0</v>
      </c>
      <c r="I222" s="54">
        <f t="shared" si="168"/>
        <v>0</v>
      </c>
      <c r="J222" s="54">
        <f t="shared" si="168"/>
        <v>0</v>
      </c>
      <c r="K222" s="54">
        <f t="shared" si="168"/>
        <v>0</v>
      </c>
      <c r="L222" s="55">
        <f t="shared" si="168"/>
        <v>0</v>
      </c>
      <c r="M222" s="54">
        <f t="shared" si="168"/>
        <v>0</v>
      </c>
      <c r="N222" s="54">
        <f t="shared" si="168"/>
        <v>60</v>
      </c>
      <c r="O222" s="55">
        <f t="shared" si="168"/>
        <v>60</v>
      </c>
      <c r="P222" s="56"/>
      <c r="Q222" s="57">
        <f>SUBTOTAL(9,Q215:Q221)</f>
        <v>60</v>
      </c>
      <c r="R222" s="92"/>
      <c r="S222" s="92"/>
      <c r="T222" s="102"/>
      <c r="U222" s="81"/>
      <c r="V222" s="81"/>
      <c r="W222" s="129">
        <f>SUBTOTAL(9,W215:W221)</f>
        <v>0</v>
      </c>
      <c r="X222" s="129">
        <f>SUBTOTAL(9,X215:X221)</f>
        <v>973.8</v>
      </c>
      <c r="Y222" s="129"/>
      <c r="Z222" s="129"/>
      <c r="AA222" s="129">
        <f>SUBTOTAL(9,AA215:AA221)</f>
        <v>973.8</v>
      </c>
      <c r="AB222" s="129">
        <f t="shared" si="166"/>
        <v>0</v>
      </c>
      <c r="AC222" s="129">
        <f t="shared" si="167"/>
        <v>973.8</v>
      </c>
      <c r="AD222" s="130"/>
      <c r="AE222" s="129">
        <f>SUBTOTAL(9,AE215:AE221)</f>
        <v>0</v>
      </c>
    </row>
    <row r="223" spans="1:31" customFormat="1" ht="33" customHeight="1" x14ac:dyDescent="0.25">
      <c r="A223" s="45" t="s">
        <v>78</v>
      </c>
      <c r="B223" s="46" t="s">
        <v>79</v>
      </c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7"/>
      <c r="O223" s="48"/>
      <c r="P223" s="46"/>
      <c r="Q223" s="46"/>
      <c r="R223" s="91"/>
      <c r="S223" s="91"/>
      <c r="T223" s="91"/>
      <c r="U223" s="80"/>
      <c r="V223" s="80"/>
      <c r="W223" s="48"/>
      <c r="X223" s="48"/>
      <c r="Y223" s="48"/>
      <c r="Z223" s="48"/>
      <c r="AA223" s="49"/>
      <c r="AB223" s="121"/>
      <c r="AC223" s="121"/>
      <c r="AD223" s="122"/>
      <c r="AE223" s="123"/>
    </row>
    <row r="224" spans="1:31" x14ac:dyDescent="0.25">
      <c r="A224" s="50">
        <v>46125</v>
      </c>
      <c r="B224" s="69"/>
      <c r="C224" s="70"/>
      <c r="D224" s="70"/>
      <c r="E224" s="70"/>
      <c r="F224" s="70"/>
      <c r="G224" s="70"/>
      <c r="H224" s="70"/>
      <c r="I224" s="70"/>
      <c r="J224" s="70"/>
      <c r="K224" s="70"/>
      <c r="L224" s="51">
        <f t="shared" ref="L224:L230" si="169">SUM(B224:K224)</f>
        <v>0</v>
      </c>
      <c r="M224" s="71"/>
      <c r="N224" s="71">
        <v>8.75</v>
      </c>
      <c r="O224" s="52">
        <f t="shared" ref="O224:O230" si="170">M224+N224</f>
        <v>8.75</v>
      </c>
      <c r="P224" s="72">
        <v>16.23</v>
      </c>
      <c r="Q224" s="73">
        <v>8.75</v>
      </c>
      <c r="R224" s="107"/>
      <c r="S224" s="107"/>
      <c r="T224" s="101"/>
      <c r="U224" s="75"/>
      <c r="V224" s="75"/>
      <c r="W224" s="124">
        <f>SUMPRODUCT(B224:K224,$B$5:K$5)</f>
        <v>0</v>
      </c>
      <c r="X224" s="124">
        <f t="shared" ref="X224:X230" si="171">N224*P224</f>
        <v>142.01250000000002</v>
      </c>
      <c r="Y224" s="124">
        <v>16.23</v>
      </c>
      <c r="Z224" s="124">
        <v>16.23</v>
      </c>
      <c r="AA224" s="124">
        <f t="shared" ref="AA224:AA230" si="172">(M224*Y224)+(N224*Z224)</f>
        <v>142.01250000000002</v>
      </c>
      <c r="AB224" s="125">
        <f t="shared" ref="AB224:AB231" si="173">MAX(AA224-X224-W224,0)</f>
        <v>0</v>
      </c>
      <c r="AC224" s="126">
        <f t="shared" ref="AC224:AC231" si="174">W224+X224+AB224</f>
        <v>142.01250000000002</v>
      </c>
      <c r="AD224" s="127" t="s">
        <v>5</v>
      </c>
      <c r="AE224" s="128"/>
    </row>
    <row r="225" spans="1:31" x14ac:dyDescent="0.25">
      <c r="A225" s="50">
        <v>46126</v>
      </c>
      <c r="B225" s="69"/>
      <c r="C225" s="70"/>
      <c r="D225" s="70"/>
      <c r="E225" s="70"/>
      <c r="F225" s="70"/>
      <c r="G225" s="70"/>
      <c r="H225" s="70"/>
      <c r="I225" s="70"/>
      <c r="J225" s="70"/>
      <c r="K225" s="70"/>
      <c r="L225" s="51">
        <f t="shared" si="169"/>
        <v>0</v>
      </c>
      <c r="M225" s="71"/>
      <c r="N225" s="71">
        <v>8.5</v>
      </c>
      <c r="O225" s="52">
        <f t="shared" si="170"/>
        <v>8.5</v>
      </c>
      <c r="P225" s="72">
        <v>16.23</v>
      </c>
      <c r="Q225" s="73">
        <v>8.5</v>
      </c>
      <c r="R225" s="107"/>
      <c r="S225" s="107"/>
      <c r="T225" s="101"/>
      <c r="U225" s="75"/>
      <c r="V225" s="75"/>
      <c r="W225" s="124">
        <f>SUMPRODUCT(B225:K225,$B$5:K$5)</f>
        <v>0</v>
      </c>
      <c r="X225" s="124">
        <f t="shared" si="171"/>
        <v>137.95500000000001</v>
      </c>
      <c r="Y225" s="124">
        <v>16.23</v>
      </c>
      <c r="Z225" s="124">
        <v>16.23</v>
      </c>
      <c r="AA225" s="124">
        <f t="shared" si="172"/>
        <v>137.95500000000001</v>
      </c>
      <c r="AB225" s="125">
        <f t="shared" si="173"/>
        <v>0</v>
      </c>
      <c r="AC225" s="126">
        <f t="shared" si="174"/>
        <v>137.95500000000001</v>
      </c>
      <c r="AD225" s="127" t="s">
        <v>5</v>
      </c>
      <c r="AE225" s="128"/>
    </row>
    <row r="226" spans="1:31" x14ac:dyDescent="0.25">
      <c r="A226" s="50">
        <v>46127</v>
      </c>
      <c r="B226" s="69"/>
      <c r="C226" s="70"/>
      <c r="D226" s="70"/>
      <c r="E226" s="70"/>
      <c r="F226" s="70"/>
      <c r="G226" s="70"/>
      <c r="H226" s="70"/>
      <c r="I226" s="70"/>
      <c r="J226" s="70"/>
      <c r="K226" s="70"/>
      <c r="L226" s="51">
        <f t="shared" si="169"/>
        <v>0</v>
      </c>
      <c r="M226" s="71"/>
      <c r="N226" s="71">
        <v>8.75</v>
      </c>
      <c r="O226" s="52">
        <f t="shared" si="170"/>
        <v>8.75</v>
      </c>
      <c r="P226" s="72">
        <v>16.23</v>
      </c>
      <c r="Q226" s="73">
        <v>8.75</v>
      </c>
      <c r="R226" s="107"/>
      <c r="S226" s="107"/>
      <c r="T226" s="101"/>
      <c r="U226" s="75"/>
      <c r="V226" s="75"/>
      <c r="W226" s="124">
        <f>SUMPRODUCT(B226:K226,$B$5:K$5)</f>
        <v>0</v>
      </c>
      <c r="X226" s="124">
        <f t="shared" si="171"/>
        <v>142.01250000000002</v>
      </c>
      <c r="Y226" s="124">
        <v>16.23</v>
      </c>
      <c r="Z226" s="124">
        <v>16.23</v>
      </c>
      <c r="AA226" s="124">
        <f t="shared" si="172"/>
        <v>142.01250000000002</v>
      </c>
      <c r="AB226" s="125">
        <f t="shared" si="173"/>
        <v>0</v>
      </c>
      <c r="AC226" s="126">
        <f t="shared" si="174"/>
        <v>142.01250000000002</v>
      </c>
      <c r="AD226" s="127" t="s">
        <v>5</v>
      </c>
      <c r="AE226" s="128"/>
    </row>
    <row r="227" spans="1:31" x14ac:dyDescent="0.25">
      <c r="A227" s="50">
        <v>46128</v>
      </c>
      <c r="B227" s="69"/>
      <c r="C227" s="70"/>
      <c r="D227" s="70"/>
      <c r="E227" s="70"/>
      <c r="F227" s="70"/>
      <c r="G227" s="70"/>
      <c r="H227" s="70"/>
      <c r="I227" s="70"/>
      <c r="J227" s="70"/>
      <c r="K227" s="70"/>
      <c r="L227" s="51">
        <f t="shared" si="169"/>
        <v>0</v>
      </c>
      <c r="M227" s="71"/>
      <c r="N227" s="71">
        <v>9</v>
      </c>
      <c r="O227" s="52">
        <f t="shared" si="170"/>
        <v>9</v>
      </c>
      <c r="P227" s="72">
        <v>16.23</v>
      </c>
      <c r="Q227" s="73">
        <v>9</v>
      </c>
      <c r="R227" s="107"/>
      <c r="S227" s="107"/>
      <c r="T227" s="101"/>
      <c r="U227" s="75"/>
      <c r="V227" s="75"/>
      <c r="W227" s="124">
        <f>SUMPRODUCT(B227:K227,$B$5:K$5)</f>
        <v>0</v>
      </c>
      <c r="X227" s="124">
        <f t="shared" si="171"/>
        <v>146.07</v>
      </c>
      <c r="Y227" s="124">
        <v>16.23</v>
      </c>
      <c r="Z227" s="124">
        <v>16.23</v>
      </c>
      <c r="AA227" s="124">
        <f t="shared" si="172"/>
        <v>146.07</v>
      </c>
      <c r="AB227" s="125">
        <f t="shared" si="173"/>
        <v>0</v>
      </c>
      <c r="AC227" s="126">
        <f t="shared" si="174"/>
        <v>146.07</v>
      </c>
      <c r="AD227" s="127" t="s">
        <v>5</v>
      </c>
      <c r="AE227" s="128"/>
    </row>
    <row r="228" spans="1:31" x14ac:dyDescent="0.25">
      <c r="A228" s="50">
        <v>46129</v>
      </c>
      <c r="B228" s="69"/>
      <c r="C228" s="70"/>
      <c r="D228" s="70"/>
      <c r="E228" s="70"/>
      <c r="F228" s="70"/>
      <c r="G228" s="70"/>
      <c r="H228" s="70"/>
      <c r="I228" s="70"/>
      <c r="J228" s="70"/>
      <c r="K228" s="70"/>
      <c r="L228" s="51">
        <f t="shared" si="169"/>
        <v>0</v>
      </c>
      <c r="M228" s="71"/>
      <c r="N228" s="71">
        <v>10.5</v>
      </c>
      <c r="O228" s="52">
        <f t="shared" si="170"/>
        <v>10.5</v>
      </c>
      <c r="P228" s="72">
        <v>16.23</v>
      </c>
      <c r="Q228" s="73">
        <v>10.5</v>
      </c>
      <c r="R228" s="107"/>
      <c r="S228" s="107"/>
      <c r="T228" s="101"/>
      <c r="U228" s="75"/>
      <c r="V228" s="75"/>
      <c r="W228" s="124">
        <f>SUMPRODUCT(B228:K228,$B$5:K$5)</f>
        <v>0</v>
      </c>
      <c r="X228" s="124">
        <f t="shared" si="171"/>
        <v>170.41499999999999</v>
      </c>
      <c r="Y228" s="124">
        <v>16.23</v>
      </c>
      <c r="Z228" s="124">
        <v>16.23</v>
      </c>
      <c r="AA228" s="124">
        <f t="shared" si="172"/>
        <v>170.41499999999999</v>
      </c>
      <c r="AB228" s="125">
        <f t="shared" si="173"/>
        <v>0</v>
      </c>
      <c r="AC228" s="126">
        <f t="shared" si="174"/>
        <v>170.41499999999999</v>
      </c>
      <c r="AD228" s="127" t="s">
        <v>5</v>
      </c>
      <c r="AE228" s="128"/>
    </row>
    <row r="229" spans="1:31" x14ac:dyDescent="0.25">
      <c r="A229" s="50">
        <v>46130</v>
      </c>
      <c r="B229" s="69"/>
      <c r="C229" s="70"/>
      <c r="D229" s="70"/>
      <c r="E229" s="70"/>
      <c r="F229" s="70"/>
      <c r="G229" s="70"/>
      <c r="H229" s="70"/>
      <c r="I229" s="70"/>
      <c r="J229" s="70"/>
      <c r="K229" s="70"/>
      <c r="L229" s="51">
        <f t="shared" si="169"/>
        <v>0</v>
      </c>
      <c r="M229" s="71"/>
      <c r="N229" s="71">
        <v>10.5</v>
      </c>
      <c r="O229" s="52">
        <f t="shared" si="170"/>
        <v>10.5</v>
      </c>
      <c r="P229" s="72">
        <v>16.23</v>
      </c>
      <c r="Q229" s="73">
        <v>10.5</v>
      </c>
      <c r="R229" s="107"/>
      <c r="S229" s="107"/>
      <c r="T229" s="101"/>
      <c r="U229" s="75"/>
      <c r="V229" s="75"/>
      <c r="W229" s="124">
        <f>SUMPRODUCT(B229:K229,$B$5:K$5)</f>
        <v>0</v>
      </c>
      <c r="X229" s="124">
        <f t="shared" si="171"/>
        <v>170.41499999999999</v>
      </c>
      <c r="Y229" s="124">
        <v>16.23</v>
      </c>
      <c r="Z229" s="124">
        <v>16.23</v>
      </c>
      <c r="AA229" s="124">
        <f t="shared" si="172"/>
        <v>170.41499999999999</v>
      </c>
      <c r="AB229" s="125">
        <f t="shared" si="173"/>
        <v>0</v>
      </c>
      <c r="AC229" s="126">
        <f t="shared" si="174"/>
        <v>170.41499999999999</v>
      </c>
      <c r="AD229" s="127" t="s">
        <v>5</v>
      </c>
      <c r="AE229" s="128"/>
    </row>
    <row r="230" spans="1:31" x14ac:dyDescent="0.25">
      <c r="A230" s="50">
        <v>46131</v>
      </c>
      <c r="B230" s="69"/>
      <c r="C230" s="70"/>
      <c r="D230" s="70"/>
      <c r="E230" s="70"/>
      <c r="F230" s="70"/>
      <c r="G230" s="70"/>
      <c r="H230" s="70"/>
      <c r="I230" s="70"/>
      <c r="J230" s="70"/>
      <c r="K230" s="70"/>
      <c r="L230" s="51">
        <f t="shared" si="169"/>
        <v>0</v>
      </c>
      <c r="M230" s="71"/>
      <c r="N230" s="71">
        <v>6.5</v>
      </c>
      <c r="O230" s="52">
        <f t="shared" si="170"/>
        <v>6.5</v>
      </c>
      <c r="P230" s="72">
        <v>16.23</v>
      </c>
      <c r="Q230" s="73">
        <v>6.5</v>
      </c>
      <c r="R230" s="107"/>
      <c r="S230" s="107"/>
      <c r="T230" s="101"/>
      <c r="U230" s="75"/>
      <c r="V230" s="75"/>
      <c r="W230" s="124">
        <f>SUMPRODUCT(B230:K230,$B$5:K$5)</f>
        <v>0</v>
      </c>
      <c r="X230" s="124">
        <f t="shared" si="171"/>
        <v>105.495</v>
      </c>
      <c r="Y230" s="124">
        <v>16.23</v>
      </c>
      <c r="Z230" s="124">
        <v>16.23</v>
      </c>
      <c r="AA230" s="124">
        <f t="shared" si="172"/>
        <v>105.495</v>
      </c>
      <c r="AB230" s="125">
        <f t="shared" si="173"/>
        <v>0</v>
      </c>
      <c r="AC230" s="126">
        <f t="shared" si="174"/>
        <v>105.495</v>
      </c>
      <c r="AD230" s="127" t="s">
        <v>5</v>
      </c>
      <c r="AE230" s="128"/>
    </row>
    <row r="231" spans="1:31" x14ac:dyDescent="0.25">
      <c r="A231" s="53" t="s">
        <v>31</v>
      </c>
      <c r="B231" s="54">
        <f t="shared" ref="B231:O231" si="175">SUBTOTAL(9,B224:B230)</f>
        <v>0</v>
      </c>
      <c r="C231" s="54">
        <f t="shared" si="175"/>
        <v>0</v>
      </c>
      <c r="D231" s="54">
        <f t="shared" si="175"/>
        <v>0</v>
      </c>
      <c r="E231" s="54">
        <f t="shared" si="175"/>
        <v>0</v>
      </c>
      <c r="F231" s="54">
        <f t="shared" si="175"/>
        <v>0</v>
      </c>
      <c r="G231" s="54">
        <f t="shared" si="175"/>
        <v>0</v>
      </c>
      <c r="H231" s="54">
        <f t="shared" si="175"/>
        <v>0</v>
      </c>
      <c r="I231" s="54">
        <f t="shared" si="175"/>
        <v>0</v>
      </c>
      <c r="J231" s="54">
        <f t="shared" si="175"/>
        <v>0</v>
      </c>
      <c r="K231" s="54">
        <f t="shared" si="175"/>
        <v>0</v>
      </c>
      <c r="L231" s="55">
        <f t="shared" si="175"/>
        <v>0</v>
      </c>
      <c r="M231" s="54">
        <f t="shared" si="175"/>
        <v>0</v>
      </c>
      <c r="N231" s="54">
        <f t="shared" si="175"/>
        <v>62.5</v>
      </c>
      <c r="O231" s="55">
        <f t="shared" si="175"/>
        <v>62.5</v>
      </c>
      <c r="P231" s="56"/>
      <c r="Q231" s="57">
        <f>SUBTOTAL(9,Q224:Q230)</f>
        <v>62.5</v>
      </c>
      <c r="R231" s="92"/>
      <c r="S231" s="92"/>
      <c r="T231" s="102"/>
      <c r="U231" s="81"/>
      <c r="V231" s="81"/>
      <c r="W231" s="129">
        <f>SUBTOTAL(9,W224:W230)</f>
        <v>0</v>
      </c>
      <c r="X231" s="129">
        <f>SUBTOTAL(9,X224:X230)</f>
        <v>1014.3749999999999</v>
      </c>
      <c r="Y231" s="129"/>
      <c r="Z231" s="129"/>
      <c r="AA231" s="129">
        <f>SUBTOTAL(9,AA224:AA230)</f>
        <v>1014.3749999999999</v>
      </c>
      <c r="AB231" s="129">
        <f t="shared" si="173"/>
        <v>0</v>
      </c>
      <c r="AC231" s="129">
        <f t="shared" si="174"/>
        <v>1014.3749999999999</v>
      </c>
      <c r="AD231" s="130"/>
      <c r="AE231" s="129">
        <f>SUBTOTAL(9,AE224:AE230)</f>
        <v>0</v>
      </c>
    </row>
    <row r="232" spans="1:31" customFormat="1" ht="33" customHeight="1" x14ac:dyDescent="0.25">
      <c r="A232" s="45" t="s">
        <v>80</v>
      </c>
      <c r="B232" s="46" t="s">
        <v>81</v>
      </c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7"/>
      <c r="O232" s="48"/>
      <c r="P232" s="46"/>
      <c r="Q232" s="46"/>
      <c r="R232" s="91"/>
      <c r="S232" s="91"/>
      <c r="T232" s="91"/>
      <c r="U232" s="80"/>
      <c r="V232" s="80"/>
      <c r="W232" s="48"/>
      <c r="X232" s="48"/>
      <c r="Y232" s="48"/>
      <c r="Z232" s="48"/>
      <c r="AA232" s="49"/>
      <c r="AB232" s="121"/>
      <c r="AC232" s="121"/>
      <c r="AD232" s="122"/>
      <c r="AE232" s="123"/>
    </row>
    <row r="233" spans="1:31" x14ac:dyDescent="0.25">
      <c r="A233" s="50">
        <v>46125</v>
      </c>
      <c r="B233" s="69"/>
      <c r="C233" s="70"/>
      <c r="D233" s="70"/>
      <c r="E233" s="70"/>
      <c r="F233" s="70"/>
      <c r="G233" s="70"/>
      <c r="H233" s="70"/>
      <c r="I233" s="70"/>
      <c r="J233" s="70"/>
      <c r="K233" s="70"/>
      <c r="L233" s="51">
        <f t="shared" ref="L233:L239" si="176">SUM(B233:K233)</f>
        <v>0</v>
      </c>
      <c r="M233" s="71"/>
      <c r="N233" s="71">
        <v>10</v>
      </c>
      <c r="O233" s="52">
        <f t="shared" ref="O233:O239" si="177">M233+N233</f>
        <v>10</v>
      </c>
      <c r="P233" s="72">
        <v>16.23</v>
      </c>
      <c r="Q233" s="73">
        <v>10</v>
      </c>
      <c r="R233" s="107"/>
      <c r="S233" s="107"/>
      <c r="T233" s="101"/>
      <c r="U233" s="75"/>
      <c r="V233" s="75"/>
      <c r="W233" s="124">
        <f>SUMPRODUCT(B233:K233,$B$5:K$5)</f>
        <v>0</v>
      </c>
      <c r="X233" s="124">
        <f t="shared" ref="X233:X239" si="178">N233*P233</f>
        <v>162.30000000000001</v>
      </c>
      <c r="Y233" s="124">
        <v>16.23</v>
      </c>
      <c r="Z233" s="124">
        <v>16.23</v>
      </c>
      <c r="AA233" s="124">
        <f t="shared" ref="AA233:AA239" si="179">(M233*Y233)+(N233*Z233)</f>
        <v>162.30000000000001</v>
      </c>
      <c r="AB233" s="125">
        <f t="shared" ref="AB233:AB240" si="180">MAX(AA233-X233-W233,0)</f>
        <v>0</v>
      </c>
      <c r="AC233" s="126">
        <f t="shared" ref="AC233:AC240" si="181">W233+X233+AB233</f>
        <v>162.30000000000001</v>
      </c>
      <c r="AD233" s="127" t="s">
        <v>5</v>
      </c>
      <c r="AE233" s="128"/>
    </row>
    <row r="234" spans="1:31" x14ac:dyDescent="0.25">
      <c r="A234" s="50">
        <v>46126</v>
      </c>
      <c r="B234" s="69"/>
      <c r="C234" s="70"/>
      <c r="D234" s="70"/>
      <c r="E234" s="70"/>
      <c r="F234" s="70"/>
      <c r="G234" s="70"/>
      <c r="H234" s="70"/>
      <c r="I234" s="70"/>
      <c r="J234" s="70"/>
      <c r="K234" s="70"/>
      <c r="L234" s="51">
        <f t="shared" si="176"/>
        <v>0</v>
      </c>
      <c r="M234" s="71"/>
      <c r="N234" s="71">
        <v>11</v>
      </c>
      <c r="O234" s="52">
        <f t="shared" si="177"/>
        <v>11</v>
      </c>
      <c r="P234" s="72">
        <v>16.23</v>
      </c>
      <c r="Q234" s="73">
        <v>11</v>
      </c>
      <c r="R234" s="107"/>
      <c r="S234" s="107"/>
      <c r="T234" s="101"/>
      <c r="U234" s="75"/>
      <c r="V234" s="75"/>
      <c r="W234" s="124">
        <f>SUMPRODUCT(B234:K234,$B$5:K$5)</f>
        <v>0</v>
      </c>
      <c r="X234" s="124">
        <f t="shared" si="178"/>
        <v>178.53</v>
      </c>
      <c r="Y234" s="124">
        <v>16.23</v>
      </c>
      <c r="Z234" s="124">
        <v>16.23</v>
      </c>
      <c r="AA234" s="124">
        <f t="shared" si="179"/>
        <v>178.53</v>
      </c>
      <c r="AB234" s="125">
        <f t="shared" si="180"/>
        <v>0</v>
      </c>
      <c r="AC234" s="126">
        <f t="shared" si="181"/>
        <v>178.53</v>
      </c>
      <c r="AD234" s="127" t="s">
        <v>5</v>
      </c>
      <c r="AE234" s="128"/>
    </row>
    <row r="235" spans="1:31" x14ac:dyDescent="0.25">
      <c r="A235" s="50">
        <v>46127</v>
      </c>
      <c r="B235" s="69"/>
      <c r="C235" s="70"/>
      <c r="D235" s="70"/>
      <c r="E235" s="70"/>
      <c r="F235" s="70"/>
      <c r="G235" s="70"/>
      <c r="H235" s="70"/>
      <c r="I235" s="70"/>
      <c r="J235" s="70"/>
      <c r="K235" s="70"/>
      <c r="L235" s="51">
        <f t="shared" si="176"/>
        <v>0</v>
      </c>
      <c r="M235" s="71"/>
      <c r="N235" s="71">
        <v>10</v>
      </c>
      <c r="O235" s="52">
        <f t="shared" si="177"/>
        <v>10</v>
      </c>
      <c r="P235" s="72">
        <v>16.23</v>
      </c>
      <c r="Q235" s="73">
        <v>10</v>
      </c>
      <c r="R235" s="107"/>
      <c r="S235" s="107"/>
      <c r="T235" s="101"/>
      <c r="U235" s="75"/>
      <c r="V235" s="75"/>
      <c r="W235" s="124">
        <f>SUMPRODUCT(B235:K235,$B$5:K$5)</f>
        <v>0</v>
      </c>
      <c r="X235" s="124">
        <f t="shared" si="178"/>
        <v>162.30000000000001</v>
      </c>
      <c r="Y235" s="124">
        <v>16.23</v>
      </c>
      <c r="Z235" s="124">
        <v>16.23</v>
      </c>
      <c r="AA235" s="124">
        <f t="shared" si="179"/>
        <v>162.30000000000001</v>
      </c>
      <c r="AB235" s="125">
        <f t="shared" si="180"/>
        <v>0</v>
      </c>
      <c r="AC235" s="126">
        <f t="shared" si="181"/>
        <v>162.30000000000001</v>
      </c>
      <c r="AD235" s="127" t="s">
        <v>5</v>
      </c>
      <c r="AE235" s="128"/>
    </row>
    <row r="236" spans="1:31" x14ac:dyDescent="0.25">
      <c r="A236" s="50">
        <v>46128</v>
      </c>
      <c r="B236" s="69"/>
      <c r="C236" s="70"/>
      <c r="D236" s="70"/>
      <c r="E236" s="70"/>
      <c r="F236" s="70"/>
      <c r="G236" s="70"/>
      <c r="H236" s="70"/>
      <c r="I236" s="70"/>
      <c r="J236" s="70"/>
      <c r="K236" s="70"/>
      <c r="L236" s="51">
        <f t="shared" si="176"/>
        <v>0</v>
      </c>
      <c r="M236" s="71"/>
      <c r="N236" s="71">
        <v>11</v>
      </c>
      <c r="O236" s="52">
        <f t="shared" si="177"/>
        <v>11</v>
      </c>
      <c r="P236" s="72">
        <v>16.23</v>
      </c>
      <c r="Q236" s="73">
        <v>11</v>
      </c>
      <c r="R236" s="107"/>
      <c r="S236" s="107"/>
      <c r="T236" s="101"/>
      <c r="U236" s="75"/>
      <c r="V236" s="75"/>
      <c r="W236" s="124">
        <f>SUMPRODUCT(B236:K236,$B$5:K$5)</f>
        <v>0</v>
      </c>
      <c r="X236" s="124">
        <f t="shared" si="178"/>
        <v>178.53</v>
      </c>
      <c r="Y236" s="124">
        <v>16.23</v>
      </c>
      <c r="Z236" s="124">
        <v>16.23</v>
      </c>
      <c r="AA236" s="124">
        <f t="shared" si="179"/>
        <v>178.53</v>
      </c>
      <c r="AB236" s="125">
        <f t="shared" si="180"/>
        <v>0</v>
      </c>
      <c r="AC236" s="126">
        <f t="shared" si="181"/>
        <v>178.53</v>
      </c>
      <c r="AD236" s="127" t="s">
        <v>5</v>
      </c>
      <c r="AE236" s="128"/>
    </row>
    <row r="237" spans="1:31" x14ac:dyDescent="0.25">
      <c r="A237" s="50">
        <v>46129</v>
      </c>
      <c r="B237" s="69"/>
      <c r="C237" s="70"/>
      <c r="D237" s="70"/>
      <c r="E237" s="70"/>
      <c r="F237" s="70"/>
      <c r="G237" s="70"/>
      <c r="H237" s="70"/>
      <c r="I237" s="70"/>
      <c r="J237" s="70"/>
      <c r="K237" s="70"/>
      <c r="L237" s="51">
        <f t="shared" si="176"/>
        <v>0</v>
      </c>
      <c r="M237" s="71"/>
      <c r="N237" s="71">
        <v>10.5</v>
      </c>
      <c r="O237" s="52">
        <f t="shared" si="177"/>
        <v>10.5</v>
      </c>
      <c r="P237" s="72">
        <v>16.23</v>
      </c>
      <c r="Q237" s="73">
        <v>10.5</v>
      </c>
      <c r="R237" s="107"/>
      <c r="S237" s="107"/>
      <c r="T237" s="101"/>
      <c r="U237" s="75"/>
      <c r="V237" s="75"/>
      <c r="W237" s="124">
        <f>SUMPRODUCT(B237:K237,$B$5:K$5)</f>
        <v>0</v>
      </c>
      <c r="X237" s="124">
        <f t="shared" si="178"/>
        <v>170.41499999999999</v>
      </c>
      <c r="Y237" s="124">
        <v>16.23</v>
      </c>
      <c r="Z237" s="124">
        <v>16.23</v>
      </c>
      <c r="AA237" s="124">
        <f t="shared" si="179"/>
        <v>170.41499999999999</v>
      </c>
      <c r="AB237" s="125">
        <f t="shared" si="180"/>
        <v>0</v>
      </c>
      <c r="AC237" s="126">
        <f t="shared" si="181"/>
        <v>170.41499999999999</v>
      </c>
      <c r="AD237" s="127" t="s">
        <v>5</v>
      </c>
      <c r="AE237" s="128"/>
    </row>
    <row r="238" spans="1:31" x14ac:dyDescent="0.25">
      <c r="A238" s="50">
        <v>46130</v>
      </c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51">
        <f t="shared" si="176"/>
        <v>0</v>
      </c>
      <c r="M238" s="71"/>
      <c r="N238" s="71">
        <v>8.5</v>
      </c>
      <c r="O238" s="52">
        <f t="shared" si="177"/>
        <v>8.5</v>
      </c>
      <c r="P238" s="72">
        <v>16.23</v>
      </c>
      <c r="Q238" s="73">
        <v>8.5</v>
      </c>
      <c r="R238" s="107"/>
      <c r="S238" s="107"/>
      <c r="T238" s="101"/>
      <c r="U238" s="75"/>
      <c r="V238" s="75"/>
      <c r="W238" s="124">
        <f>SUMPRODUCT(B238:K238,$B$5:K$5)</f>
        <v>0</v>
      </c>
      <c r="X238" s="124">
        <f t="shared" si="178"/>
        <v>137.95500000000001</v>
      </c>
      <c r="Y238" s="124">
        <v>16.23</v>
      </c>
      <c r="Z238" s="124">
        <v>16.23</v>
      </c>
      <c r="AA238" s="124">
        <f t="shared" si="179"/>
        <v>137.95500000000001</v>
      </c>
      <c r="AB238" s="125">
        <f t="shared" si="180"/>
        <v>0</v>
      </c>
      <c r="AC238" s="126">
        <f t="shared" si="181"/>
        <v>137.95500000000001</v>
      </c>
      <c r="AD238" s="127" t="s">
        <v>5</v>
      </c>
      <c r="AE238" s="128"/>
    </row>
    <row r="239" spans="1:31" x14ac:dyDescent="0.25">
      <c r="A239" s="50">
        <v>46131</v>
      </c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51">
        <f t="shared" si="176"/>
        <v>0</v>
      </c>
      <c r="M239" s="71"/>
      <c r="N239" s="71">
        <v>10.75</v>
      </c>
      <c r="O239" s="52">
        <f t="shared" si="177"/>
        <v>10.75</v>
      </c>
      <c r="P239" s="72">
        <v>16.23</v>
      </c>
      <c r="Q239" s="73">
        <v>10.75</v>
      </c>
      <c r="R239" s="107"/>
      <c r="S239" s="107"/>
      <c r="T239" s="101"/>
      <c r="U239" s="75"/>
      <c r="V239" s="75"/>
      <c r="W239" s="124">
        <f>SUMPRODUCT(B239:K239,$B$5:K$5)</f>
        <v>0</v>
      </c>
      <c r="X239" s="124">
        <f t="shared" si="178"/>
        <v>174.4725</v>
      </c>
      <c r="Y239" s="124">
        <v>16.23</v>
      </c>
      <c r="Z239" s="124">
        <v>16.23</v>
      </c>
      <c r="AA239" s="124">
        <f t="shared" si="179"/>
        <v>174.4725</v>
      </c>
      <c r="AB239" s="125">
        <f t="shared" si="180"/>
        <v>0</v>
      </c>
      <c r="AC239" s="126">
        <f t="shared" si="181"/>
        <v>174.4725</v>
      </c>
      <c r="AD239" s="127" t="s">
        <v>5</v>
      </c>
      <c r="AE239" s="128"/>
    </row>
    <row r="240" spans="1:31" x14ac:dyDescent="0.25">
      <c r="A240" s="53" t="s">
        <v>31</v>
      </c>
      <c r="B240" s="54">
        <f t="shared" ref="B240:O240" si="182">SUBTOTAL(9,B233:B239)</f>
        <v>0</v>
      </c>
      <c r="C240" s="54">
        <f t="shared" si="182"/>
        <v>0</v>
      </c>
      <c r="D240" s="54">
        <f t="shared" si="182"/>
        <v>0</v>
      </c>
      <c r="E240" s="54">
        <f t="shared" si="182"/>
        <v>0</v>
      </c>
      <c r="F240" s="54">
        <f t="shared" si="182"/>
        <v>0</v>
      </c>
      <c r="G240" s="54">
        <f t="shared" si="182"/>
        <v>0</v>
      </c>
      <c r="H240" s="54">
        <f t="shared" si="182"/>
        <v>0</v>
      </c>
      <c r="I240" s="54">
        <f t="shared" si="182"/>
        <v>0</v>
      </c>
      <c r="J240" s="54">
        <f t="shared" si="182"/>
        <v>0</v>
      </c>
      <c r="K240" s="54">
        <f t="shared" si="182"/>
        <v>0</v>
      </c>
      <c r="L240" s="55">
        <f t="shared" si="182"/>
        <v>0</v>
      </c>
      <c r="M240" s="54">
        <f t="shared" si="182"/>
        <v>0</v>
      </c>
      <c r="N240" s="54">
        <f t="shared" si="182"/>
        <v>71.75</v>
      </c>
      <c r="O240" s="55">
        <f t="shared" si="182"/>
        <v>71.75</v>
      </c>
      <c r="P240" s="56"/>
      <c r="Q240" s="57">
        <f>SUBTOTAL(9,Q233:Q239)</f>
        <v>71.75</v>
      </c>
      <c r="R240" s="92"/>
      <c r="S240" s="92"/>
      <c r="T240" s="102"/>
      <c r="U240" s="81"/>
      <c r="V240" s="81"/>
      <c r="W240" s="129">
        <f>SUBTOTAL(9,W233:W239)</f>
        <v>0</v>
      </c>
      <c r="X240" s="129">
        <f>SUBTOTAL(9,X233:X239)</f>
        <v>1164.5025000000001</v>
      </c>
      <c r="Y240" s="129"/>
      <c r="Z240" s="129"/>
      <c r="AA240" s="129">
        <f>SUBTOTAL(9,AA233:AA239)</f>
        <v>1164.5025000000001</v>
      </c>
      <c r="AB240" s="129">
        <f t="shared" si="180"/>
        <v>0</v>
      </c>
      <c r="AC240" s="129">
        <f t="shared" si="181"/>
        <v>1164.5025000000001</v>
      </c>
      <c r="AD240" s="130"/>
      <c r="AE240" s="129">
        <f>SUBTOTAL(9,AE233:AE239)</f>
        <v>0</v>
      </c>
    </row>
    <row r="241" spans="1:56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60"/>
      <c r="O241" s="60"/>
      <c r="P241" s="61"/>
      <c r="Q241" s="59"/>
      <c r="R241" s="93"/>
      <c r="S241" s="93"/>
      <c r="T241" s="103"/>
      <c r="U241" s="82"/>
      <c r="V241" s="82"/>
      <c r="W241" s="59"/>
      <c r="X241" s="59"/>
      <c r="Y241" s="59"/>
      <c r="Z241" s="59"/>
      <c r="AA241" s="62"/>
      <c r="AB241" s="51"/>
      <c r="AC241" s="51"/>
      <c r="AD241" s="131"/>
      <c r="AE241" s="132"/>
    </row>
    <row r="242" spans="1:56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60"/>
      <c r="O242" s="60"/>
      <c r="P242" s="61"/>
      <c r="Q242" s="59"/>
      <c r="R242" s="93"/>
      <c r="S242" s="93"/>
      <c r="T242" s="103"/>
      <c r="U242" s="82"/>
      <c r="V242" s="82"/>
      <c r="W242" s="59"/>
      <c r="X242" s="59"/>
      <c r="Y242" s="59"/>
      <c r="Z242" s="59"/>
      <c r="AA242" s="62"/>
      <c r="AB242" s="51"/>
      <c r="AC242" s="51"/>
      <c r="AD242" s="131"/>
      <c r="AE242" s="132"/>
    </row>
    <row r="243" spans="1:56" customFormat="1" ht="14.6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1"/>
      <c r="N243" s="32"/>
      <c r="O243" s="33"/>
      <c r="P243" s="34"/>
      <c r="Q243" s="30"/>
      <c r="R243" s="88"/>
      <c r="S243" s="88"/>
      <c r="T243" s="100"/>
      <c r="U243" s="78"/>
      <c r="V243" s="78"/>
      <c r="W243" s="30"/>
      <c r="X243" s="30"/>
      <c r="Y243" s="30"/>
      <c r="Z243" s="30"/>
      <c r="AA243" s="35"/>
      <c r="AB243" s="51"/>
      <c r="AC243" s="29"/>
      <c r="AD243" s="131"/>
      <c r="AE243" s="124"/>
    </row>
    <row r="244" spans="1:56" s="10" customFormat="1" ht="26.25" customHeight="1" x14ac:dyDescent="0.25">
      <c r="A244" s="63" t="s">
        <v>82</v>
      </c>
      <c r="B244" s="64">
        <f t="shared" ref="B244:O244" si="183">SUBTOTAL(9,B8:B243)</f>
        <v>418.56</v>
      </c>
      <c r="C244" s="64">
        <f t="shared" si="183"/>
        <v>0</v>
      </c>
      <c r="D244" s="64">
        <f t="shared" si="183"/>
        <v>0</v>
      </c>
      <c r="E244" s="64">
        <f t="shared" si="183"/>
        <v>0</v>
      </c>
      <c r="F244" s="64">
        <f t="shared" si="183"/>
        <v>0</v>
      </c>
      <c r="G244" s="64">
        <f t="shared" si="183"/>
        <v>0</v>
      </c>
      <c r="H244" s="64">
        <f t="shared" si="183"/>
        <v>0</v>
      </c>
      <c r="I244" s="64">
        <f t="shared" si="183"/>
        <v>0</v>
      </c>
      <c r="J244" s="64">
        <f t="shared" si="183"/>
        <v>0</v>
      </c>
      <c r="K244" s="64">
        <f t="shared" si="183"/>
        <v>0</v>
      </c>
      <c r="L244" s="65">
        <f t="shared" si="183"/>
        <v>418.56</v>
      </c>
      <c r="M244" s="64">
        <f t="shared" si="183"/>
        <v>28.5</v>
      </c>
      <c r="N244" s="66">
        <f t="shared" si="183"/>
        <v>1570.5</v>
      </c>
      <c r="O244" s="65">
        <f t="shared" si="183"/>
        <v>1599</v>
      </c>
      <c r="P244" s="67"/>
      <c r="Q244" s="64">
        <f>SUBTOTAL(9,Q8:Q243)</f>
        <v>1599</v>
      </c>
      <c r="R244" s="94"/>
      <c r="S244" s="94"/>
      <c r="T244" s="104"/>
      <c r="U244" s="83"/>
      <c r="V244" s="83"/>
      <c r="W244" s="133">
        <f>SUMIFS(W7:W243,A7:A243, "Total:")</f>
        <v>418.55999999999995</v>
      </c>
      <c r="X244" s="133">
        <f>SUMIFS(X7:X243,A7:A243, "Total:")</f>
        <v>27373.884999999998</v>
      </c>
      <c r="Y244" s="134"/>
      <c r="Z244" s="134"/>
      <c r="AA244" s="133">
        <f>SUMIFS(AA7:AA243,A7:A243, "Total:")</f>
        <v>27836.44</v>
      </c>
      <c r="AB244" s="133">
        <f>SUMIFS(AB7:AB243, A7:A243,"Total:")</f>
        <v>43.995000000000005</v>
      </c>
      <c r="AC244" s="133">
        <f>SUMIFS(AC7:AC243,A7:A243,"Total:")</f>
        <v>27836.44</v>
      </c>
      <c r="AD244" s="135"/>
      <c r="AE244" s="133">
        <f>SUMIFS(AE7:AE243,A7:A243,"Total:")</f>
        <v>0</v>
      </c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</row>
    <row r="245" spans="1:56" customFormat="1" ht="31.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5"/>
      <c r="N245" s="16"/>
      <c r="O245" s="17"/>
      <c r="P245" s="18"/>
      <c r="Q245" s="12"/>
      <c r="R245" s="95"/>
      <c r="S245" s="95"/>
      <c r="T245" s="105"/>
      <c r="U245" s="84"/>
      <c r="V245" s="84"/>
      <c r="W245" s="12"/>
      <c r="X245" s="12"/>
      <c r="Y245" s="12"/>
      <c r="Z245" s="12"/>
      <c r="AA245" s="19"/>
      <c r="AB245" s="19"/>
      <c r="AC245" s="19"/>
      <c r="AD245" s="110"/>
      <c r="AE245" s="136"/>
    </row>
    <row r="246" spans="1:56" x14ac:dyDescent="0.25">
      <c r="AE246" s="137"/>
    </row>
    <row r="248" spans="1:56" x14ac:dyDescent="0.25">
      <c r="AE248" s="138"/>
    </row>
    <row r="249" spans="1:56" x14ac:dyDescent="0.25">
      <c r="C249" s="7"/>
      <c r="D249" s="7"/>
      <c r="AE249" s="138"/>
    </row>
  </sheetData>
  <mergeCells count="5">
    <mergeCell ref="B2:F2"/>
    <mergeCell ref="B3:F3"/>
    <mergeCell ref="O3:Q3"/>
    <mergeCell ref="B4:K4"/>
    <mergeCell ref="AB4:AC5"/>
  </mergeCells>
  <printOptions horizontalCentered="1"/>
  <pageMargins left="0" right="0" top="0" bottom="0" header="0" footer="0"/>
  <pageSetup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Payroll Sheet</vt:lpstr>
      <vt:lpstr>BreakHours</vt:lpstr>
      <vt:lpstr>BreakStartTime</vt:lpstr>
      <vt:lpstr>CompanyName</vt:lpstr>
      <vt:lpstr>CrewCode</vt:lpstr>
      <vt:lpstr>CrewName</vt:lpstr>
      <vt:lpstr>CropVarietyName</vt:lpstr>
      <vt:lpstr>Dates</vt:lpstr>
      <vt:lpstr>Deductions</vt:lpstr>
      <vt:lpstr>EmployeeName</vt:lpstr>
      <vt:lpstr>EmployeeNumber</vt:lpstr>
      <vt:lpstr>EndDate</vt:lpstr>
      <vt:lpstr>HourlyMinimumWageRate</vt:lpstr>
      <vt:lpstr>HourlyPayRate</vt:lpstr>
      <vt:lpstr>Hours</vt:lpstr>
      <vt:lpstr>HoursOffered</vt:lpstr>
      <vt:lpstr>LocationName</vt:lpstr>
      <vt:lpstr>PayDate</vt:lpstr>
      <vt:lpstr>PayrollDate</vt:lpstr>
      <vt:lpstr>PieceMinimumWageRate</vt:lpstr>
      <vt:lpstr>PieceRate</vt:lpstr>
      <vt:lpstr>PieceRateEnd</vt:lpstr>
      <vt:lpstr>PieceWork</vt:lpstr>
      <vt:lpstr>PieceWorkHours</vt:lpstr>
      <vt:lpstr>StartDate</vt:lpstr>
      <vt:lpstr>StartTime</vt:lpstr>
      <vt:lpstr>Subtotal</vt:lpstr>
      <vt:lpstr>TotalWages</vt:lpstr>
    </vt:vector>
  </TitlesOfParts>
  <Company>Time Portal, LLC.</Company>
  <LinksUpToDate>false</LinksUpToDate>
  <SharedDoc>false</SharedDoc>
  <HyperlinkBase>timeportal.io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Time Sheet Template</dc:title>
  <dc:subject>Weekly Time Sheet Template</dc:subject>
  <dc:creator>Brian Mishler</dc:creator>
  <cp:lastModifiedBy>sarai morales</cp:lastModifiedBy>
  <cp:lastPrinted>2019-03-13T18:54:18Z</cp:lastPrinted>
  <dcterms:created xsi:type="dcterms:W3CDTF">2013-09-19T14:01:02Z</dcterms:created>
  <dcterms:modified xsi:type="dcterms:W3CDTF">2026-04-22T05:30:19Z</dcterms:modified>
  <cp:category>Time Keeping</cp:category>
  <cp:contentStatus>231,19262</cp:contentStatus>
</cp:coreProperties>
</file>